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pivotCache/pivotCacheDefinition4.xml" ContentType="application/vnd.openxmlformats-officedocument.spreadsheetml.pivotCacheDefinition+xml"/>
  <Override PartName="/xl/pivotCache/pivotCacheRecords4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4.xml" ContentType="application/vnd.openxmlformats-officedocument.spreadsheetml.pivotTable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A3E7DA96-BD10-434A-A928-45B033E831A6}" xr6:coauthVersionLast="47" xr6:coauthVersionMax="47" xr10:uidLastSave="{00000000-0000-0000-0000-000000000000}"/>
  <bookViews>
    <workbookView xWindow="-120" yWindow="-120" windowWidth="19440" windowHeight="11520" firstSheet="2" activeTab="2" xr2:uid="{298A44E1-A8DD-473B-A88D-16DA8FCD10DD}"/>
  </bookViews>
  <sheets>
    <sheet name="Summary" sheetId="3" state="hidden" r:id="rId1"/>
    <sheet name="Sales &amp; Stocks Report" sheetId="1" state="hidden" r:id="rId2"/>
    <sheet name="GRAPHICAL" sheetId="15" r:id="rId3"/>
    <sheet name="RET WISE SALE" sheetId="14" r:id="rId4"/>
    <sheet name="Pivot" sheetId="13" r:id="rId5"/>
    <sheet name="Raw Sale" sheetId="10" r:id="rId6"/>
    <sheet name="Offer On selected SKU" sheetId="2" r:id="rId7"/>
    <sheet name="Sheet3" sheetId="7" state="hidden" r:id="rId8"/>
  </sheets>
  <externalReferences>
    <externalReference r:id="rId9"/>
  </externalReferences>
  <definedNames>
    <definedName name="_xlnm._FilterDatabase" localSheetId="2" hidden="1">GRAPHICAL!$A$11:$B$11</definedName>
    <definedName name="_xlnm._FilterDatabase" localSheetId="5" hidden="1">'Raw Sale'!$A$1:$AI$93</definedName>
    <definedName name="_xlnm._FilterDatabase" localSheetId="3" hidden="1">'RET WISE SALE'!$A$4:$BX$25</definedName>
    <definedName name="_xlnm._FilterDatabase" localSheetId="0" hidden="1">Summary!$A$1:$AB$8</definedName>
  </definedNames>
  <calcPr calcId="191029"/>
  <pivotCaches>
    <pivotCache cacheId="0" r:id="rId10"/>
    <pivotCache cacheId="57" r:id="rId11"/>
    <pivotCache cacheId="68" r:id="rId12"/>
    <pivotCache cacheId="72" r:id="rId1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7" i="15" l="1"/>
  <c r="J7" i="15"/>
  <c r="G7" i="15"/>
  <c r="AH3" i="10"/>
  <c r="AH4" i="10"/>
  <c r="AH5" i="10"/>
  <c r="AH6" i="10"/>
  <c r="AH9" i="10"/>
  <c r="AH10" i="10"/>
  <c r="AH13" i="10"/>
  <c r="AH14" i="10"/>
  <c r="AH17" i="10"/>
  <c r="AH20" i="10"/>
  <c r="AH21" i="10"/>
  <c r="AH22" i="10"/>
  <c r="AH25" i="10"/>
  <c r="AH28" i="10"/>
  <c r="AH31" i="10"/>
  <c r="AH32" i="10"/>
  <c r="AH35" i="10"/>
  <c r="AH38" i="10"/>
  <c r="AH41" i="10"/>
  <c r="AH44" i="10"/>
  <c r="AH45" i="10"/>
  <c r="AH46" i="10"/>
  <c r="AH47" i="10"/>
  <c r="AH48" i="10"/>
  <c r="AH49" i="10"/>
  <c r="AH52" i="10"/>
  <c r="AH53" i="10"/>
  <c r="AH56" i="10"/>
  <c r="AH59" i="10"/>
  <c r="AH60" i="10"/>
  <c r="AH61" i="10"/>
  <c r="AH64" i="10"/>
  <c r="AH65" i="10"/>
  <c r="AH68" i="10"/>
  <c r="AH69" i="10"/>
  <c r="AH70" i="10"/>
  <c r="AH71" i="10"/>
  <c r="AH74" i="10"/>
  <c r="AH75" i="10"/>
  <c r="AH76" i="10"/>
  <c r="AH77" i="10"/>
  <c r="AH80" i="10"/>
  <c r="AH83" i="10"/>
  <c r="AH86" i="10"/>
  <c r="AH87" i="10"/>
  <c r="AH88" i="10"/>
  <c r="AH89" i="10"/>
  <c r="AH2" i="10"/>
  <c r="A7" i="15"/>
  <c r="L30" i="15"/>
  <c r="L31" i="15"/>
  <c r="L29" i="15"/>
  <c r="C54" i="15"/>
  <c r="B56" i="15"/>
  <c r="C56" i="15" s="1"/>
  <c r="B55" i="15"/>
  <c r="C55" i="15" s="1"/>
  <c r="B54" i="15"/>
  <c r="B53" i="15"/>
  <c r="C53" i="15" s="1"/>
  <c r="B52" i="15"/>
  <c r="C52" i="15" s="1"/>
  <c r="B51" i="15"/>
  <c r="C51" i="15" s="1"/>
  <c r="BS2" i="14"/>
  <c r="BR2" i="14"/>
  <c r="BQ2" i="14"/>
  <c r="BO2" i="14"/>
  <c r="BN2" i="14"/>
  <c r="BM2" i="14"/>
  <c r="BK2" i="14"/>
  <c r="BJ2" i="14"/>
  <c r="BI2" i="14"/>
  <c r="BG2" i="14"/>
  <c r="BF2" i="14"/>
  <c r="BE2" i="14"/>
  <c r="BC6" i="14"/>
  <c r="BA7" i="14"/>
  <c r="BU7" i="14" s="1"/>
  <c r="BB7" i="14"/>
  <c r="BA8" i="14"/>
  <c r="BB8" i="14"/>
  <c r="BB9" i="14"/>
  <c r="BC9" i="14"/>
  <c r="BA10" i="14"/>
  <c r="BU10" i="14" s="1"/>
  <c r="BB10" i="14"/>
  <c r="BC10" i="14"/>
  <c r="BA11" i="14"/>
  <c r="BB12" i="14"/>
  <c r="BC12" i="14"/>
  <c r="BA13" i="14"/>
  <c r="BU13" i="14" s="1"/>
  <c r="BB13" i="14"/>
  <c r="BC13" i="14"/>
  <c r="BA15" i="14"/>
  <c r="BB15" i="14"/>
  <c r="BC15" i="14"/>
  <c r="BU15" i="14" s="1"/>
  <c r="BA16" i="14"/>
  <c r="BB16" i="14"/>
  <c r="BC17" i="14"/>
  <c r="BB18" i="14"/>
  <c r="BC18" i="14"/>
  <c r="BA19" i="14"/>
  <c r="BC19" i="14"/>
  <c r="BA20" i="14"/>
  <c r="BB20" i="14"/>
  <c r="BC20" i="14"/>
  <c r="BA21" i="14"/>
  <c r="BU21" i="14" s="1"/>
  <c r="BB21" i="14"/>
  <c r="BC21" i="14"/>
  <c r="BB22" i="14"/>
  <c r="BC22" i="14"/>
  <c r="BA23" i="14"/>
  <c r="BC23" i="14"/>
  <c r="BA24" i="14"/>
  <c r="BU24" i="14" s="1"/>
  <c r="BB24" i="14"/>
  <c r="BB25" i="14"/>
  <c r="BC25" i="14"/>
  <c r="BC7" i="14"/>
  <c r="BC24" i="14"/>
  <c r="BA9" i="14"/>
  <c r="BA17" i="14"/>
  <c r="BA18" i="14"/>
  <c r="BA25" i="14"/>
  <c r="BC8" i="14"/>
  <c r="BC14" i="14"/>
  <c r="BB23" i="14"/>
  <c r="BB19" i="14"/>
  <c r="BA6" i="14"/>
  <c r="BB6" i="14"/>
  <c r="BB11" i="14"/>
  <c r="BC11" i="14"/>
  <c r="BA12" i="14"/>
  <c r="BA14" i="14"/>
  <c r="BB14" i="14"/>
  <c r="BC16" i="14"/>
  <c r="BB17" i="14"/>
  <c r="BA22" i="14"/>
  <c r="BU22" i="14" s="1"/>
  <c r="AX2" i="14"/>
  <c r="AT2" i="14"/>
  <c r="AP2" i="14"/>
  <c r="AL2" i="14"/>
  <c r="G2" i="14"/>
  <c r="F2" i="14"/>
  <c r="AD2" i="14"/>
  <c r="K2" i="14"/>
  <c r="J2" i="14"/>
  <c r="AI89" i="10"/>
  <c r="AI88" i="10"/>
  <c r="AI87" i="10"/>
  <c r="AI86" i="10"/>
  <c r="AI83" i="10"/>
  <c r="AI80" i="10"/>
  <c r="AI77" i="10"/>
  <c r="AI76" i="10"/>
  <c r="AI75" i="10"/>
  <c r="AI74" i="10"/>
  <c r="AI71" i="10"/>
  <c r="AI70" i="10"/>
  <c r="AI69" i="10"/>
  <c r="AI68" i="10"/>
  <c r="AI65" i="10"/>
  <c r="AI64" i="10"/>
  <c r="AI61" i="10"/>
  <c r="AI60" i="10"/>
  <c r="AI59" i="10"/>
  <c r="AI56" i="10"/>
  <c r="AI53" i="10"/>
  <c r="AI52" i="10"/>
  <c r="AI49" i="10"/>
  <c r="AI48" i="10"/>
  <c r="AI47" i="10"/>
  <c r="AI46" i="10"/>
  <c r="AI45" i="10"/>
  <c r="AI44" i="10"/>
  <c r="AI41" i="10"/>
  <c r="AI38" i="10"/>
  <c r="AI35" i="10"/>
  <c r="AI32" i="10"/>
  <c r="AI31" i="10"/>
  <c r="AI28" i="10"/>
  <c r="AI25" i="10"/>
  <c r="AI22" i="10"/>
  <c r="AI21" i="10"/>
  <c r="AI20" i="10"/>
  <c r="AI17" i="10"/>
  <c r="AI14" i="10"/>
  <c r="AI13" i="10"/>
  <c r="AI10" i="10"/>
  <c r="AI9" i="10"/>
  <c r="AI6" i="10"/>
  <c r="AI5" i="10"/>
  <c r="AI4" i="10"/>
  <c r="AI3" i="10"/>
  <c r="AE90" i="10"/>
  <c r="AF90" i="10"/>
  <c r="AG90" i="10"/>
  <c r="AE91" i="10"/>
  <c r="AF91" i="10"/>
  <c r="AG91" i="10"/>
  <c r="AE92" i="10"/>
  <c r="AF92" i="10"/>
  <c r="AG92" i="10"/>
  <c r="AE93" i="10"/>
  <c r="AF93" i="10"/>
  <c r="AG93" i="10"/>
  <c r="AE86" i="10"/>
  <c r="AF86" i="10"/>
  <c r="AG86" i="10"/>
  <c r="AE87" i="10"/>
  <c r="AF87" i="10"/>
  <c r="AG87" i="10"/>
  <c r="AE88" i="10"/>
  <c r="AF88" i="10"/>
  <c r="AG88" i="10"/>
  <c r="AE89" i="10"/>
  <c r="AF89" i="10"/>
  <c r="AG89" i="10"/>
  <c r="BU18" i="14" l="1"/>
  <c r="BU17" i="14"/>
  <c r="BU16" i="14"/>
  <c r="BU8" i="14"/>
  <c r="BU9" i="14"/>
  <c r="BU11" i="14"/>
  <c r="BU25" i="14"/>
  <c r="BU23" i="14"/>
  <c r="BU14" i="14"/>
  <c r="BU19" i="14"/>
  <c r="BU12" i="14"/>
  <c r="BU6" i="14"/>
  <c r="BU20" i="14"/>
  <c r="BW17" i="14"/>
  <c r="BX17" i="14" s="1"/>
  <c r="B22" i="15" s="1"/>
  <c r="BW21" i="14"/>
  <c r="BX21" i="14" s="1"/>
  <c r="B27" i="15" s="1"/>
  <c r="BW13" i="14"/>
  <c r="BX13" i="14" s="1"/>
  <c r="B19" i="15" s="1"/>
  <c r="BW8" i="14"/>
  <c r="BX8" i="14" s="1"/>
  <c r="B24" i="15" s="1"/>
  <c r="BW16" i="14"/>
  <c r="BX16" i="14" s="1"/>
  <c r="B31" i="15" s="1"/>
  <c r="BW6" i="14"/>
  <c r="BX6" i="14" s="1"/>
  <c r="B18" i="15" s="1"/>
  <c r="BW12" i="14"/>
  <c r="BX12" i="14" s="1"/>
  <c r="B30" i="15" s="1"/>
  <c r="BW14" i="14"/>
  <c r="BX14" i="14" s="1"/>
  <c r="B20" i="15" s="1"/>
  <c r="BW10" i="14"/>
  <c r="BX10" i="14" s="1"/>
  <c r="B14" i="15" s="1"/>
  <c r="BW11" i="14"/>
  <c r="BX11" i="14" s="1"/>
  <c r="B13" i="15" s="1"/>
  <c r="BW24" i="14"/>
  <c r="BX24" i="14" s="1"/>
  <c r="B28" i="15" s="1"/>
  <c r="BW9" i="14"/>
  <c r="BX9" i="14" s="1"/>
  <c r="B25" i="15" s="1"/>
  <c r="BW25" i="14"/>
  <c r="BX25" i="14" s="1"/>
  <c r="B16" i="15" s="1"/>
  <c r="BW18" i="14"/>
  <c r="BX18" i="14" s="1"/>
  <c r="B23" i="15" s="1"/>
  <c r="BW20" i="14"/>
  <c r="BX20" i="14" s="1"/>
  <c r="B26" i="15" s="1"/>
  <c r="BW7" i="14"/>
  <c r="BX7" i="14" s="1"/>
  <c r="B17" i="15" s="1"/>
  <c r="BW23" i="14"/>
  <c r="BX23" i="14" s="1"/>
  <c r="B12" i="15" s="1"/>
  <c r="BW22" i="14"/>
  <c r="BX22" i="14" s="1"/>
  <c r="B32" i="15" s="1"/>
  <c r="BW19" i="14"/>
  <c r="BX19" i="14" s="1"/>
  <c r="B15" i="15" s="1"/>
  <c r="BW15" i="14"/>
  <c r="BX15" i="14" s="1"/>
  <c r="B21" i="15" s="1"/>
  <c r="AH2" i="14"/>
  <c r="V2" i="14"/>
  <c r="BA5" i="14"/>
  <c r="BB5" i="14"/>
  <c r="BC5" i="14"/>
  <c r="AS2" i="14"/>
  <c r="AK2" i="14"/>
  <c r="AM2" i="14"/>
  <c r="AW2" i="14"/>
  <c r="AY2" i="14"/>
  <c r="AO2" i="14"/>
  <c r="N2" i="14"/>
  <c r="Q2" i="14"/>
  <c r="AQ2" i="14"/>
  <c r="AU2" i="14"/>
  <c r="AG2" i="14"/>
  <c r="AI2" i="14"/>
  <c r="U2" i="14"/>
  <c r="AC2" i="14"/>
  <c r="AE2" i="14"/>
  <c r="Z2" i="14"/>
  <c r="Y2" i="14"/>
  <c r="AA2" i="14"/>
  <c r="W2" i="14"/>
  <c r="R2" i="14"/>
  <c r="S2" i="14"/>
  <c r="M2" i="14"/>
  <c r="O2" i="14"/>
  <c r="I2" i="14"/>
  <c r="B50" i="15" s="1"/>
  <c r="C50" i="15" s="1"/>
  <c r="AI2" i="10"/>
  <c r="AG66" i="10"/>
  <c r="AG67" i="10"/>
  <c r="AG6" i="10"/>
  <c r="AG7" i="10"/>
  <c r="AG8" i="10"/>
  <c r="AG53" i="10"/>
  <c r="AG54" i="10"/>
  <c r="AG55" i="10"/>
  <c r="AG22" i="10"/>
  <c r="AG23" i="10"/>
  <c r="AG24" i="10"/>
  <c r="AG10" i="10"/>
  <c r="AG11" i="10"/>
  <c r="AG12" i="10"/>
  <c r="AG41" i="10"/>
  <c r="AG42" i="10"/>
  <c r="AG43" i="10"/>
  <c r="AG77" i="10"/>
  <c r="AG78" i="10"/>
  <c r="AG79" i="10"/>
  <c r="AG80" i="10"/>
  <c r="AG81" i="10"/>
  <c r="AG82" i="10"/>
  <c r="AG71" i="10"/>
  <c r="AG72" i="10"/>
  <c r="AG73" i="10"/>
  <c r="AG38" i="10"/>
  <c r="AG39" i="10"/>
  <c r="AG40" i="10"/>
  <c r="AG32" i="10"/>
  <c r="AG33" i="10"/>
  <c r="AG34" i="10"/>
  <c r="AG61" i="10"/>
  <c r="AG62" i="10"/>
  <c r="AG63" i="10"/>
  <c r="AG83" i="10"/>
  <c r="AG84" i="10"/>
  <c r="AG85" i="10"/>
  <c r="AG28" i="10"/>
  <c r="AG29" i="10"/>
  <c r="AG30" i="10"/>
  <c r="AG14" i="10"/>
  <c r="AG15" i="10"/>
  <c r="AG16" i="10"/>
  <c r="AG35" i="10"/>
  <c r="AG36" i="10"/>
  <c r="AG37" i="10"/>
  <c r="AG17" i="10"/>
  <c r="AG18" i="10"/>
  <c r="AG19" i="10"/>
  <c r="AG56" i="10"/>
  <c r="AG57" i="10"/>
  <c r="AG58" i="10"/>
  <c r="AG25" i="10"/>
  <c r="AG26" i="10"/>
  <c r="AG27" i="10"/>
  <c r="AG49" i="10"/>
  <c r="AG50" i="10"/>
  <c r="AG51" i="10"/>
  <c r="AG2" i="10"/>
  <c r="AG3" i="10"/>
  <c r="AG4" i="10"/>
  <c r="AG5" i="10"/>
  <c r="AG9" i="10"/>
  <c r="AG13" i="10"/>
  <c r="AG20" i="10"/>
  <c r="AG21" i="10"/>
  <c r="AG31" i="10"/>
  <c r="AG44" i="10"/>
  <c r="AG45" i="10"/>
  <c r="AG46" i="10"/>
  <c r="AG47" i="10"/>
  <c r="AG48" i="10"/>
  <c r="AG52" i="10"/>
  <c r="AG59" i="10"/>
  <c r="AG60" i="10"/>
  <c r="AG64" i="10"/>
  <c r="AG68" i="10"/>
  <c r="AG69" i="10"/>
  <c r="AG70" i="10"/>
  <c r="AG74" i="10"/>
  <c r="AG75" i="10"/>
  <c r="AG76" i="10"/>
  <c r="AG65" i="10"/>
  <c r="AE66" i="10"/>
  <c r="AF66" i="10"/>
  <c r="AE67" i="10"/>
  <c r="AF67" i="10"/>
  <c r="AE6" i="10"/>
  <c r="AF6" i="10"/>
  <c r="AE7" i="10"/>
  <c r="AF7" i="10"/>
  <c r="AE8" i="10"/>
  <c r="AF8" i="10"/>
  <c r="AE53" i="10"/>
  <c r="AF53" i="10"/>
  <c r="AE54" i="10"/>
  <c r="AF54" i="10"/>
  <c r="AE55" i="10"/>
  <c r="AF55" i="10"/>
  <c r="AE22" i="10"/>
  <c r="AF22" i="10"/>
  <c r="AE23" i="10"/>
  <c r="AF23" i="10"/>
  <c r="AE24" i="10"/>
  <c r="AF24" i="10"/>
  <c r="AE10" i="10"/>
  <c r="AF10" i="10"/>
  <c r="AE11" i="10"/>
  <c r="AF11" i="10"/>
  <c r="AE12" i="10"/>
  <c r="AF12" i="10"/>
  <c r="AE41" i="10"/>
  <c r="AF41" i="10"/>
  <c r="AE42" i="10"/>
  <c r="AF42" i="10"/>
  <c r="AE43" i="10"/>
  <c r="AF43" i="10"/>
  <c r="AE77" i="10"/>
  <c r="AF77" i="10"/>
  <c r="AE78" i="10"/>
  <c r="AF78" i="10"/>
  <c r="AE79" i="10"/>
  <c r="AF79" i="10"/>
  <c r="AE80" i="10"/>
  <c r="AF80" i="10"/>
  <c r="AE81" i="10"/>
  <c r="AF81" i="10"/>
  <c r="AE82" i="10"/>
  <c r="AF82" i="10"/>
  <c r="AE71" i="10"/>
  <c r="AF71" i="10"/>
  <c r="AE72" i="10"/>
  <c r="AF72" i="10"/>
  <c r="AE73" i="10"/>
  <c r="AF73" i="10"/>
  <c r="AE38" i="10"/>
  <c r="AF38" i="10"/>
  <c r="AE39" i="10"/>
  <c r="AF39" i="10"/>
  <c r="AE40" i="10"/>
  <c r="AF40" i="10"/>
  <c r="AE32" i="10"/>
  <c r="AF32" i="10"/>
  <c r="AE33" i="10"/>
  <c r="AF33" i="10"/>
  <c r="AE34" i="10"/>
  <c r="AF34" i="10"/>
  <c r="AE61" i="10"/>
  <c r="AF61" i="10"/>
  <c r="AE62" i="10"/>
  <c r="AF62" i="10"/>
  <c r="AE63" i="10"/>
  <c r="AF63" i="10"/>
  <c r="AE83" i="10"/>
  <c r="AF83" i="10"/>
  <c r="AE84" i="10"/>
  <c r="AF84" i="10"/>
  <c r="AE85" i="10"/>
  <c r="AF85" i="10"/>
  <c r="AE28" i="10"/>
  <c r="AF28" i="10"/>
  <c r="AE29" i="10"/>
  <c r="AF29" i="10"/>
  <c r="AE30" i="10"/>
  <c r="AF30" i="10"/>
  <c r="AE14" i="10"/>
  <c r="AF14" i="10"/>
  <c r="AE15" i="10"/>
  <c r="AF15" i="10"/>
  <c r="AE16" i="10"/>
  <c r="AF16" i="10"/>
  <c r="AE35" i="10"/>
  <c r="AF35" i="10"/>
  <c r="AE36" i="10"/>
  <c r="AF36" i="10"/>
  <c r="AE37" i="10"/>
  <c r="AF37" i="10"/>
  <c r="AE17" i="10"/>
  <c r="AF17" i="10"/>
  <c r="AE18" i="10"/>
  <c r="AF18" i="10"/>
  <c r="AE19" i="10"/>
  <c r="AF19" i="10"/>
  <c r="AE56" i="10"/>
  <c r="AF56" i="10"/>
  <c r="AE57" i="10"/>
  <c r="AF57" i="10"/>
  <c r="AE58" i="10"/>
  <c r="AF58" i="10"/>
  <c r="AE25" i="10"/>
  <c r="AF25" i="10"/>
  <c r="AE26" i="10"/>
  <c r="AF26" i="10"/>
  <c r="AE27" i="10"/>
  <c r="AF27" i="10"/>
  <c r="AE49" i="10"/>
  <c r="AF49" i="10"/>
  <c r="AE50" i="10"/>
  <c r="AF50" i="10"/>
  <c r="AE51" i="10"/>
  <c r="AF51" i="10"/>
  <c r="AE2" i="10"/>
  <c r="AF2" i="10"/>
  <c r="AE3" i="10"/>
  <c r="AF3" i="10"/>
  <c r="AE4" i="10"/>
  <c r="AF4" i="10"/>
  <c r="AE5" i="10"/>
  <c r="AF5" i="10"/>
  <c r="AE9" i="10"/>
  <c r="AF9" i="10"/>
  <c r="AE13" i="10"/>
  <c r="AF13" i="10"/>
  <c r="AE20" i="10"/>
  <c r="AF20" i="10"/>
  <c r="AE21" i="10"/>
  <c r="AF21" i="10"/>
  <c r="AE31" i="10"/>
  <c r="AF31" i="10"/>
  <c r="AE44" i="10"/>
  <c r="AF44" i="10"/>
  <c r="AE45" i="10"/>
  <c r="AF45" i="10"/>
  <c r="AE46" i="10"/>
  <c r="AF46" i="10"/>
  <c r="AE47" i="10"/>
  <c r="AF47" i="10"/>
  <c r="AE48" i="10"/>
  <c r="AF48" i="10"/>
  <c r="AE52" i="10"/>
  <c r="AF52" i="10"/>
  <c r="AE59" i="10"/>
  <c r="AF59" i="10"/>
  <c r="AE60" i="10"/>
  <c r="AF60" i="10"/>
  <c r="AE64" i="10"/>
  <c r="AF64" i="10"/>
  <c r="AE68" i="10"/>
  <c r="AF68" i="10"/>
  <c r="AE69" i="10"/>
  <c r="AF69" i="10"/>
  <c r="AE70" i="10"/>
  <c r="AF70" i="10"/>
  <c r="AE74" i="10"/>
  <c r="AF74" i="10"/>
  <c r="AE75" i="10"/>
  <c r="AF75" i="10"/>
  <c r="AE76" i="10"/>
  <c r="AF76" i="10"/>
  <c r="AF65" i="10"/>
  <c r="AE65" i="10"/>
  <c r="BU5" i="14" l="1"/>
  <c r="BW5" i="14"/>
  <c r="BX5" i="14" s="1"/>
  <c r="BB2" i="14"/>
  <c r="G4" i="15" s="1"/>
  <c r="BC2" i="14"/>
  <c r="J4" i="15" s="1"/>
  <c r="BA2" i="14"/>
  <c r="A4" i="15" s="1"/>
  <c r="D4" i="15" l="1"/>
  <c r="BX2" i="14"/>
  <c r="B29" i="15"/>
  <c r="BW2" i="14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gkb</author>
    <author>GKB</author>
    <author>Mitra</author>
  </authors>
  <commentList>
    <comment ref="F34" authorId="0" shapeId="0" xr:uid="{F5B9980C-80CC-4BED-8E0D-8278F724E0E2}">
      <text>
        <r>
          <rPr>
            <b/>
            <sz val="9"/>
            <color indexed="81"/>
            <rFont val="Tahoma"/>
            <family val="2"/>
          </rPr>
          <t>gkb:</t>
        </r>
        <r>
          <rPr>
            <sz val="9"/>
            <color indexed="81"/>
            <rFont val="Tahoma"/>
            <family val="2"/>
          </rPr>
          <t xml:space="preserve">
Shifted on 15/08/2020
Opening date: 13/02/2015</t>
        </r>
      </text>
    </comment>
    <comment ref="C45" authorId="1" shapeId="0" xr:uid="{D66171E0-0DCE-4F78-BC64-C80336FAD02E}">
      <text>
        <r>
          <rPr>
            <sz val="9"/>
            <rFont val="Arial"/>
            <family val="2"/>
          </rPr>
          <t>GKB:
NCR</t>
        </r>
      </text>
    </comment>
    <comment ref="C51" authorId="2" shapeId="0" xr:uid="{BA466C91-14F7-4708-A6CD-9B023DFC7FF3}">
      <text>
        <r>
          <rPr>
            <sz val="9"/>
            <rFont val="Arial"/>
            <family val="2"/>
          </rPr>
          <t xml:space="preserve">NCR
</t>
        </r>
      </text>
    </comment>
    <comment ref="C77" authorId="2" shapeId="0" xr:uid="{EFBAEC20-70E9-4051-89C8-164937FD681F}">
      <text>
        <r>
          <rPr>
            <sz val="9"/>
            <rFont val="Arial"/>
            <family val="2"/>
          </rPr>
          <t>UP</t>
        </r>
      </text>
    </comment>
  </commentList>
</comments>
</file>

<file path=xl/sharedStrings.xml><?xml version="1.0" encoding="utf-8"?>
<sst xmlns="http://schemas.openxmlformats.org/spreadsheetml/2006/main" count="3458" uniqueCount="882">
  <si>
    <t>Type</t>
  </si>
  <si>
    <t>Frame</t>
  </si>
  <si>
    <t>Sunglass</t>
  </si>
  <si>
    <t>Grand Total</t>
  </si>
  <si>
    <t>Store Id</t>
  </si>
  <si>
    <t>Item Id</t>
  </si>
  <si>
    <t>W131</t>
  </si>
  <si>
    <t>MTM34GL51</t>
  </si>
  <si>
    <t>W161</t>
  </si>
  <si>
    <t>MTM17BR49</t>
  </si>
  <si>
    <t>MTM18BL54</t>
  </si>
  <si>
    <t>W160</t>
  </si>
  <si>
    <t>MTM27GR50</t>
  </si>
  <si>
    <t>Offer Only Valid for below Models</t>
  </si>
  <si>
    <t>Model No</t>
  </si>
  <si>
    <t>MTM10MS55</t>
  </si>
  <si>
    <t>FT1108</t>
  </si>
  <si>
    <t>MTM11BR56</t>
  </si>
  <si>
    <t>FT1175</t>
  </si>
  <si>
    <t>MTM12BR56</t>
  </si>
  <si>
    <t>MTM13BR53</t>
  </si>
  <si>
    <t>FT1213</t>
  </si>
  <si>
    <t>MTM14BR52</t>
  </si>
  <si>
    <t>FT5617-B</t>
  </si>
  <si>
    <t>MTM15BR53</t>
  </si>
  <si>
    <t>FT5699-B</t>
  </si>
  <si>
    <t>MTM16GR49</t>
  </si>
  <si>
    <t>FT5867-B</t>
  </si>
  <si>
    <t>FT5869-B</t>
  </si>
  <si>
    <t>MTM19BR54</t>
  </si>
  <si>
    <t>MTM1LG53</t>
  </si>
  <si>
    <t>FT0248</t>
  </si>
  <si>
    <t>MTM20BR50</t>
  </si>
  <si>
    <t>MTM21BR52</t>
  </si>
  <si>
    <t>FT5898-B</t>
  </si>
  <si>
    <t>MTM22BR54</t>
  </si>
  <si>
    <t>FT5938-B</t>
  </si>
  <si>
    <t>MTM23BL52</t>
  </si>
  <si>
    <t>FT5939-B</t>
  </si>
  <si>
    <t>MTM24BR52</t>
  </si>
  <si>
    <t>MTM25BL49</t>
  </si>
  <si>
    <t>FT5940-B</t>
  </si>
  <si>
    <t>MTM26BR49</t>
  </si>
  <si>
    <t>FT5963-B</t>
  </si>
  <si>
    <t>MTM28BR50</t>
  </si>
  <si>
    <t>MTM29GR56</t>
  </si>
  <si>
    <t>FT5801-F-B</t>
  </si>
  <si>
    <t>MTM2BR57</t>
  </si>
  <si>
    <t>FT0832</t>
  </si>
  <si>
    <t>MTM30BL54</t>
  </si>
  <si>
    <t>FT1273-D</t>
  </si>
  <si>
    <t>MTM31BR54</t>
  </si>
  <si>
    <t>FT6071-D-B</t>
  </si>
  <si>
    <t>MTM32BL53</t>
  </si>
  <si>
    <t>FT6106-D-B</t>
  </si>
  <si>
    <t>MTM33BR53</t>
  </si>
  <si>
    <t>MTM3BL51</t>
  </si>
  <si>
    <t>FT1021-N</t>
  </si>
  <si>
    <t>MTM5BR54</t>
  </si>
  <si>
    <t>FT1076</t>
  </si>
  <si>
    <t>MTM6BR54</t>
  </si>
  <si>
    <t>MTM7BL55</t>
  </si>
  <si>
    <t>MTM8BR55</t>
  </si>
  <si>
    <t>MTM9BR55</t>
  </si>
  <si>
    <t>Store Name</t>
  </si>
  <si>
    <t>Receipt Id</t>
  </si>
  <si>
    <t>Trans Date</t>
  </si>
  <si>
    <t>Qty</t>
  </si>
  <si>
    <t>Item Category</t>
  </si>
  <si>
    <t>Item Desc</t>
  </si>
  <si>
    <t>MRP</t>
  </si>
  <si>
    <t>Disc Amount</t>
  </si>
  <si>
    <t>GST Benefit Discount</t>
  </si>
  <si>
    <t>Taxable Amount</t>
  </si>
  <si>
    <t>Tax Rate</t>
  </si>
  <si>
    <t>Tax Amount</t>
  </si>
  <si>
    <t>Bill Amount</t>
  </si>
  <si>
    <t>HSNSAC</t>
  </si>
  <si>
    <t>Cust Code</t>
  </si>
  <si>
    <t>Offer Id</t>
  </si>
  <si>
    <t>Staff Id</t>
  </si>
  <si>
    <t>Lens Coating</t>
  </si>
  <si>
    <t>Tinting Code</t>
  </si>
  <si>
    <t>Item Group</t>
  </si>
  <si>
    <t>Entry Status</t>
  </si>
  <si>
    <t>GSTIN</t>
  </si>
  <si>
    <t>OCI</t>
  </si>
  <si>
    <t>Suspended Trans Id</t>
  </si>
  <si>
    <t>Batch Id</t>
  </si>
  <si>
    <t>W122</t>
  </si>
  <si>
    <t>Pune - Phoenix MC Mall</t>
  </si>
  <si>
    <t>#122562109330</t>
  </si>
  <si>
    <t>Tomford SG</t>
  </si>
  <si>
    <t>TF1021-N 01D 3P ELTON ECO</t>
  </si>
  <si>
    <t>90041000</t>
  </si>
  <si>
    <t>CS0586640</t>
  </si>
  <si>
    <t/>
  </si>
  <si>
    <t>S0157-Shirish Mukesh</t>
  </si>
  <si>
    <t>IG100</t>
  </si>
  <si>
    <t>Posted</t>
  </si>
  <si>
    <t>W122-562-17742695298</t>
  </si>
  <si>
    <t>W149</t>
  </si>
  <si>
    <t>Bangalore - Indira Nagar2</t>
  </si>
  <si>
    <t>#149586105650</t>
  </si>
  <si>
    <t>Tomford FR</t>
  </si>
  <si>
    <t>TF5869-B 052 0 ECO</t>
  </si>
  <si>
    <t>90049090</t>
  </si>
  <si>
    <t>CS0141358</t>
  </si>
  <si>
    <t>D0069-Darshan Y G</t>
  </si>
  <si>
    <t>IG30</t>
  </si>
  <si>
    <t>OCIW14926000412</t>
  </si>
  <si>
    <t>W149-586-17741936712</t>
  </si>
  <si>
    <t>#149586105699</t>
  </si>
  <si>
    <t>TF6106-D-B 052 0</t>
  </si>
  <si>
    <t>90031100</t>
  </si>
  <si>
    <t>CS0583100</t>
  </si>
  <si>
    <t>TF Modstar 20P</t>
  </si>
  <si>
    <t>W075</t>
  </si>
  <si>
    <t>Bangalore - Kormangala</t>
  </si>
  <si>
    <t>#075536105013</t>
  </si>
  <si>
    <t>TF5617-B 052</t>
  </si>
  <si>
    <t>CW075-002364</t>
  </si>
  <si>
    <t>F0008-Fathimath Naji</t>
  </si>
  <si>
    <t>OCIW07526000235</t>
  </si>
  <si>
    <t>W075-536-17765149970</t>
  </si>
  <si>
    <t>W073</t>
  </si>
  <si>
    <t>Puducherry - Mission Street</t>
  </si>
  <si>
    <t>#073534109595</t>
  </si>
  <si>
    <t>CW073-005137</t>
  </si>
  <si>
    <t>G0003-G K Rajesh</t>
  </si>
  <si>
    <t>OCIW07326000416</t>
  </si>
  <si>
    <t>W073-534-17760585573</t>
  </si>
  <si>
    <t>#149586105731</t>
  </si>
  <si>
    <t>TF5867-B 052 0</t>
  </si>
  <si>
    <t>CS0196588</t>
  </si>
  <si>
    <t>M0113-Md Saeedali K</t>
  </si>
  <si>
    <t>W149-586-17748679769</t>
  </si>
  <si>
    <t>#149586105746</t>
  </si>
  <si>
    <t>TF1273-D 01V 0 ECO</t>
  </si>
  <si>
    <t>CW105-0016394</t>
  </si>
  <si>
    <t>R0100-Rakesh Ghosh</t>
  </si>
  <si>
    <t>W149-586-17765249802</t>
  </si>
  <si>
    <t>Sum of Qty</t>
  </si>
  <si>
    <t>BDM</t>
  </si>
  <si>
    <t>.</t>
  </si>
  <si>
    <t>Stock</t>
  </si>
  <si>
    <t>W024</t>
  </si>
  <si>
    <t>W029</t>
  </si>
  <si>
    <t>W035</t>
  </si>
  <si>
    <t>W038</t>
  </si>
  <si>
    <t>W063</t>
  </si>
  <si>
    <t>W095</t>
  </si>
  <si>
    <t>W110</t>
  </si>
  <si>
    <t>W112</t>
  </si>
  <si>
    <t>W117</t>
  </si>
  <si>
    <t>W127</t>
  </si>
  <si>
    <t>W128</t>
  </si>
  <si>
    <t>W144</t>
  </si>
  <si>
    <t>Tomford Modstar</t>
  </si>
  <si>
    <t>City</t>
  </si>
  <si>
    <t>Retail</t>
  </si>
  <si>
    <t>LAKESHORE GATEWAY MALL</t>
  </si>
  <si>
    <t>HILAND PARK</t>
  </si>
  <si>
    <t>ALPHA MALL</t>
  </si>
  <si>
    <t>GIP MALL NOIDA</t>
  </si>
  <si>
    <t>KALYANINAGAR</t>
  </si>
  <si>
    <t xml:space="preserve">PUDUCHERRY </t>
  </si>
  <si>
    <t>KORAMANGALA</t>
  </si>
  <si>
    <t>DURGAPUR,JUNCTION MALL</t>
  </si>
  <si>
    <t>LUDHIANA MALHAR ROAD</t>
  </si>
  <si>
    <t>RANCHI</t>
  </si>
  <si>
    <t>ARJUN MARG</t>
  </si>
  <si>
    <t>PHOENIX MARKETCITY</t>
  </si>
  <si>
    <t>VIZAG SIRIPURAM</t>
  </si>
  <si>
    <t>SILIGURI CITY CENTRE</t>
  </si>
  <si>
    <t>BRIGADE ORION</t>
  </si>
  <si>
    <t>PHOENIX CITADEL</t>
  </si>
  <si>
    <t>INDIRANAGAR 2</t>
  </si>
  <si>
    <t>PACIFIC MALL</t>
  </si>
  <si>
    <t>M5 E City Mall</t>
  </si>
  <si>
    <t>Sales Type</t>
  </si>
  <si>
    <t>#149586105798</t>
  </si>
  <si>
    <t>TF5898-B 052 0 ECO</t>
  </si>
  <si>
    <t>CW105-0017186</t>
  </si>
  <si>
    <t>OCIW14926000413</t>
  </si>
  <si>
    <t>W149-586-17742610549</t>
  </si>
  <si>
    <t>Ahmedabad - Nexus One</t>
  </si>
  <si>
    <t>#035523107752</t>
  </si>
  <si>
    <t>CS0079825</t>
  </si>
  <si>
    <t>S0271-Sachin Yadav</t>
  </si>
  <si>
    <t>OCIW03526000269</t>
  </si>
  <si>
    <t>W035-523-17771228879</t>
  </si>
  <si>
    <t>#075536105077</t>
  </si>
  <si>
    <t>TF5939-B 001 0 ECO</t>
  </si>
  <si>
    <t>CS0597015</t>
  </si>
  <si>
    <t>S0008-S Ravi Kumar</t>
  </si>
  <si>
    <t>OCIW07526000268</t>
  </si>
  <si>
    <t>W075-536-17778175180</t>
  </si>
  <si>
    <t>#075536105105</t>
  </si>
  <si>
    <t>TF5939-B 052 0 ECO</t>
  </si>
  <si>
    <t>CS0598966</t>
  </si>
  <si>
    <t>Ranchi - Main Road</t>
  </si>
  <si>
    <t>#112554107339</t>
  </si>
  <si>
    <t>TF1175 55A 3 ASLAN</t>
  </si>
  <si>
    <t>CW112-000046</t>
  </si>
  <si>
    <t>SOCH</t>
  </si>
  <si>
    <t>T0002-Tanmoy Roy</t>
  </si>
  <si>
    <t>OCIW11226000327</t>
  </si>
  <si>
    <t>W112-554-17782483728</t>
  </si>
  <si>
    <t>#073534109842</t>
  </si>
  <si>
    <t>TF5801-F-B 001 0 (BLACK)</t>
  </si>
  <si>
    <t>CS0599259</t>
  </si>
  <si>
    <t>OCIW07326000527</t>
  </si>
  <si>
    <t>W073-534-17786514271</t>
  </si>
  <si>
    <t>Gurgaon - Arjun Marg</t>
  </si>
  <si>
    <t>#117557106704</t>
  </si>
  <si>
    <t>TF5938-B 057 0 ECO</t>
  </si>
  <si>
    <t>CS0600078</t>
  </si>
  <si>
    <t>V0013-Vivek Kumar</t>
  </si>
  <si>
    <t>OCIW11726000370</t>
  </si>
  <si>
    <t>W117-557-17789433818</t>
  </si>
  <si>
    <t>#149586106109</t>
  </si>
  <si>
    <t>CW075-006274</t>
  </si>
  <si>
    <t>OCIW14926000283</t>
  </si>
  <si>
    <t>W149-586-17718599505</t>
  </si>
  <si>
    <t>#149586106194</t>
  </si>
  <si>
    <t>TF1213 52E 2 GRAYDON</t>
  </si>
  <si>
    <t>CS0180971</t>
  </si>
  <si>
    <t>W149-586-17798066339</t>
  </si>
  <si>
    <t>Dehradun - Pacific Mall</t>
  </si>
  <si>
    <t>#160598102492</t>
  </si>
  <si>
    <t>TF1108 48Z 3 ELSA ECO</t>
  </si>
  <si>
    <t>CS0605175</t>
  </si>
  <si>
    <t>Y0006-Yogesh Naudiya</t>
  </si>
  <si>
    <t>#160598102493</t>
  </si>
  <si>
    <t>TF1108 52E 1/3 PHOTOCROMIC ELSA ECO</t>
  </si>
  <si>
    <t>CS0605176</t>
  </si>
  <si>
    <t>#149586106238</t>
  </si>
  <si>
    <t>TF1076 56B 2 KENDEL</t>
  </si>
  <si>
    <t>CS0605463</t>
  </si>
  <si>
    <t>#122562109968</t>
  </si>
  <si>
    <t>TF1076 55L 3 KENDEL</t>
  </si>
  <si>
    <t>CS0521680</t>
  </si>
  <si>
    <t>A0082-A R A Rashid P</t>
  </si>
  <si>
    <t>Kolkata - Hiland Park</t>
  </si>
  <si>
    <t>#029519106762</t>
  </si>
  <si>
    <t>CS0592755</t>
  </si>
  <si>
    <t>R0076-Rumanah Khan</t>
  </si>
  <si>
    <t>OCIW02926000357</t>
  </si>
  <si>
    <t>W029-519-17764315806</t>
  </si>
  <si>
    <t>#029519106760</t>
  </si>
  <si>
    <t>TF6106-D-B 001 0</t>
  </si>
  <si>
    <t>CW029-0005775</t>
  </si>
  <si>
    <t>W029-519-17807385187</t>
  </si>
  <si>
    <t>#149586106274</t>
  </si>
  <si>
    <t>TF5867-B 020 0</t>
  </si>
  <si>
    <t>CS0605360</t>
  </si>
  <si>
    <t>B0036-B M Kartheek</t>
  </si>
  <si>
    <t>OCIW14926000795</t>
  </si>
  <si>
    <t>W149-586-17807461271</t>
  </si>
  <si>
    <t>#035523108115</t>
  </si>
  <si>
    <t>CS0605632</t>
  </si>
  <si>
    <t>Seeing Positivity</t>
  </si>
  <si>
    <t>H0015-Hiren Kiritbha</t>
  </si>
  <si>
    <t>OCIW03526000364</t>
  </si>
  <si>
    <t>W035-523-17808249575</t>
  </si>
  <si>
    <t>Indore - Phoenix Citadel</t>
  </si>
  <si>
    <t>#144579102826</t>
  </si>
  <si>
    <t>TF5963-B 045 0 ECO</t>
  </si>
  <si>
    <t>CW103-009917</t>
  </si>
  <si>
    <t>S0273-Shokindra Kuma</t>
  </si>
  <si>
    <t>#073534110107</t>
  </si>
  <si>
    <t>TF5963-B 020 0 ECO</t>
  </si>
  <si>
    <t>CS0609428</t>
  </si>
  <si>
    <t>A0148-A R Abdul Sath</t>
  </si>
  <si>
    <t>Ludhiana - Sarabha Nagar</t>
  </si>
  <si>
    <t>#110552105087</t>
  </si>
  <si>
    <t>CS0610083</t>
  </si>
  <si>
    <t>V0029-Vicky Kumar</t>
  </si>
  <si>
    <t>OCIW11026000481</t>
  </si>
  <si>
    <t>W110-552-17820290763</t>
  </si>
  <si>
    <t>#122562110098</t>
  </si>
  <si>
    <t>CS0560281</t>
  </si>
  <si>
    <t>#075536105343</t>
  </si>
  <si>
    <t>CS0585844</t>
  </si>
  <si>
    <t>Bangalore - M5 Mall</t>
  </si>
  <si>
    <t>#161599102659</t>
  </si>
  <si>
    <t>CS0612355</t>
  </si>
  <si>
    <t>K0058-K Salim Malik</t>
  </si>
  <si>
    <t>OCIW16126000389</t>
  </si>
  <si>
    <t>W161-599-17826603267</t>
  </si>
  <si>
    <t>Pune - Kalyaninagar</t>
  </si>
  <si>
    <t>#063532107439</t>
  </si>
  <si>
    <t>CS0613216</t>
  </si>
  <si>
    <t>S0173-Shankar  Suryk</t>
  </si>
  <si>
    <t>#149586106514</t>
  </si>
  <si>
    <t>TF5869-B 001 0 ECO</t>
  </si>
  <si>
    <t>CS0112544</t>
  </si>
  <si>
    <t>W149-586-17827413974</t>
  </si>
  <si>
    <t>Siliguri - City Centre</t>
  </si>
  <si>
    <t>#128567106161</t>
  </si>
  <si>
    <t>CS0611060</t>
  </si>
  <si>
    <t>M0114-Manaranjan Bar</t>
  </si>
  <si>
    <t>OCIW12826000363</t>
  </si>
  <si>
    <t>W128-567-17822941787</t>
  </si>
  <si>
    <t>#149586106642</t>
  </si>
  <si>
    <t>TF6071-D-B 053 0</t>
  </si>
  <si>
    <t>CS0607028</t>
  </si>
  <si>
    <t>W149-586-17813426155</t>
  </si>
  <si>
    <t>#075536200578</t>
  </si>
  <si>
    <t>#075536105461</t>
  </si>
  <si>
    <t>CS0531494</t>
  </si>
  <si>
    <t>29AAECK0473E1ZN</t>
  </si>
  <si>
    <t>W075-536-17847117970</t>
  </si>
  <si>
    <t>#128567106271</t>
  </si>
  <si>
    <t>CS0059534</t>
  </si>
  <si>
    <t>S0191-Sourav Mukherj</t>
  </si>
  <si>
    <t>OCIW12826000411</t>
  </si>
  <si>
    <t>W128-567-17840372928</t>
  </si>
  <si>
    <t>Crizal 2nd 50P</t>
  </si>
  <si>
    <t>OCIW12826000412</t>
  </si>
  <si>
    <t>#075536105473</t>
  </si>
  <si>
    <t>TF5940-B 001 0 ECO</t>
  </si>
  <si>
    <t>CS0618765</t>
  </si>
  <si>
    <t>TF Modstar 30P</t>
  </si>
  <si>
    <t>OCIW07526000446</t>
  </si>
  <si>
    <t>W075-536-17849868422</t>
  </si>
  <si>
    <t>Incentive Amount</t>
  </si>
  <si>
    <t xml:space="preserve">PUNE </t>
  </si>
  <si>
    <t>DIGVIJAY SINGH</t>
  </si>
  <si>
    <t>BENGALURU</t>
  </si>
  <si>
    <t>D. N.CHOWDHURY</t>
  </si>
  <si>
    <t>PUDUCHERRY</t>
  </si>
  <si>
    <t>AHMEDABAD</t>
  </si>
  <si>
    <t xml:space="preserve">JOYDEEP DATTA </t>
  </si>
  <si>
    <t>GURUGRAM</t>
  </si>
  <si>
    <t>AMANDEEP SINGH GILL</t>
  </si>
  <si>
    <t>DEHRADUN</t>
  </si>
  <si>
    <t xml:space="preserve">KOLKATA  </t>
  </si>
  <si>
    <t>INDORE</t>
  </si>
  <si>
    <t>LUDHIANA</t>
  </si>
  <si>
    <t>SILIGURI</t>
  </si>
  <si>
    <t>SNo.</t>
  </si>
  <si>
    <t>Store Code</t>
  </si>
  <si>
    <t xml:space="preserve">Showroom Loc / Name </t>
  </si>
  <si>
    <t>State</t>
  </si>
  <si>
    <t>Opening Date</t>
  </si>
  <si>
    <t>Store Mail ID</t>
  </si>
  <si>
    <t>Business Development Manager</t>
  </si>
  <si>
    <t>Showroom Manager/Incharge</t>
  </si>
  <si>
    <t>W168</t>
  </si>
  <si>
    <t>SUMMIT PLAZA</t>
  </si>
  <si>
    <t>DELHI &amp; NCR</t>
  </si>
  <si>
    <t>summitplaza@gkblens.com</t>
  </si>
  <si>
    <t>NEERA</t>
  </si>
  <si>
    <t>W134</t>
  </si>
  <si>
    <t>BIAL INTERNATIONAL</t>
  </si>
  <si>
    <t>KARNATAKA</t>
  </si>
  <si>
    <t>gkbbial2@gkblens.com</t>
  </si>
  <si>
    <t>SYED MUHEEB</t>
  </si>
  <si>
    <t>W023</t>
  </si>
  <si>
    <t>GREEN PARK</t>
  </si>
  <si>
    <t>NEW DELHI</t>
  </si>
  <si>
    <t>delhigreenpark@gkblens.com</t>
  </si>
  <si>
    <t>AJEET KUMAR SHARMA</t>
  </si>
  <si>
    <t>W139</t>
  </si>
  <si>
    <t>MOTINAGAR</t>
  </si>
  <si>
    <t>delhimotinagar@gkblens.com</t>
  </si>
  <si>
    <t>PARBJEET KAUR</t>
  </si>
  <si>
    <t>W167</t>
  </si>
  <si>
    <t>HUDA MARKET</t>
  </si>
  <si>
    <t>gurgaonhuda@gkblens.com</t>
  </si>
  <si>
    <t>ANIL KUMAR SINGH</t>
  </si>
  <si>
    <t>HYDERABAD</t>
  </si>
  <si>
    <t>TELANGANA</t>
  </si>
  <si>
    <t>hyderabadgateway@gkblens.com</t>
  </si>
  <si>
    <t>A J REDDY</t>
  </si>
  <si>
    <t>W166</t>
  </si>
  <si>
    <t>UNITY ONE ELEGANT MALL</t>
  </si>
  <si>
    <t>nspdelhi@gkblens.com</t>
  </si>
  <si>
    <t>SUMIT KUMAR</t>
  </si>
  <si>
    <t>W165</t>
  </si>
  <si>
    <t>SKY CITY MALL</t>
  </si>
  <si>
    <t>MUMBAI</t>
  </si>
  <si>
    <t>MAHARASTRA</t>
  </si>
  <si>
    <t>skycitymumbai@gkblens.com</t>
  </si>
  <si>
    <t>SHRUSHTI SHAILESH BARBHAYA</t>
  </si>
  <si>
    <t>W164</t>
  </si>
  <si>
    <t>HSR Layout</t>
  </si>
  <si>
    <t>hsrbangalore@gkblens.com</t>
  </si>
  <si>
    <t>ATAL BIHARI</t>
  </si>
  <si>
    <t>W163</t>
  </si>
  <si>
    <t>Maybach Icons of Luxury</t>
  </si>
  <si>
    <t>blrmaybach@gkblens.com</t>
  </si>
  <si>
    <t>BOPANNA M S</t>
  </si>
  <si>
    <t>W162</t>
  </si>
  <si>
    <t>Omaxe Chandni Chowk</t>
  </si>
  <si>
    <t>DELHI</t>
  </si>
  <si>
    <t>delhiomaxe@gkblens.com</t>
  </si>
  <si>
    <t>SUMIT VERMA</t>
  </si>
  <si>
    <t>m5bangalore@gkblens.com</t>
  </si>
  <si>
    <t>R BALACHANDRAN</t>
  </si>
  <si>
    <t>dehradun@gkblens.com</t>
  </si>
  <si>
    <t>YOGESH NAUDIYAL</t>
  </si>
  <si>
    <t>W158</t>
  </si>
  <si>
    <t>ADINATH NAGAR</t>
  </si>
  <si>
    <t>JAIPUR</t>
  </si>
  <si>
    <t>RAJASTHAN</t>
  </si>
  <si>
    <t>jaipuradinathnagar@gkblens.com</t>
  </si>
  <si>
    <t>SAURABH KUMAR SHARMA</t>
  </si>
  <si>
    <t>W157</t>
  </si>
  <si>
    <t>Phoenix Mall of Asia</t>
  </si>
  <si>
    <t>phoenixasia@gkblens.com</t>
  </si>
  <si>
    <t>W124</t>
  </si>
  <si>
    <t>PHOENIX PALLADIUM</t>
  </si>
  <si>
    <t xml:space="preserve">CHENNAI </t>
  </si>
  <si>
    <t>TAMIL NADU</t>
  </si>
  <si>
    <t>palladiumchennai@gkblens.com</t>
  </si>
  <si>
    <t>VINAY H. JOSHI</t>
  </si>
  <si>
    <t>W156</t>
  </si>
  <si>
    <t>MALL OF MILLENNIUM</t>
  </si>
  <si>
    <t>punemillenium@gkblens.com</t>
  </si>
  <si>
    <t>VAIBHAV YOGENDRA SINGH</t>
  </si>
  <si>
    <t>W155</t>
  </si>
  <si>
    <t>FORUM KOCHI</t>
  </si>
  <si>
    <t>KOCHI</t>
  </si>
  <si>
    <t>KERALA</t>
  </si>
  <si>
    <t>kochiforum@gkblens.com</t>
  </si>
  <si>
    <t>PRATHEESH KUMAR S</t>
  </si>
  <si>
    <t>W152</t>
  </si>
  <si>
    <t>SARATH CITY  2</t>
  </si>
  <si>
    <t>sarathcity2@gkblens.com</t>
  </si>
  <si>
    <t>CHANDAN KUMAR KAMBLE</t>
  </si>
  <si>
    <t>W153</t>
  </si>
  <si>
    <t>Phoenix HSP LParel2</t>
  </si>
  <si>
    <t>phoenixmumbai2@gkblens.com</t>
  </si>
  <si>
    <t>HITEN SOLANKI</t>
  </si>
  <si>
    <t>W151</t>
  </si>
  <si>
    <t>Galleria Mall 2</t>
  </si>
  <si>
    <t>rmzbangalore2@gkblens.com</t>
  </si>
  <si>
    <t>IRFAN KHAN</t>
  </si>
  <si>
    <t>W154</t>
  </si>
  <si>
    <t>INORBIT MALL</t>
  </si>
  <si>
    <t>hyderabadinorbit@gkblens.com</t>
  </si>
  <si>
    <t>CHODAVARAPU SIVASANKAR</t>
  </si>
  <si>
    <t>indiranagar2@gkblens.com</t>
  </si>
  <si>
    <t>B M. KARTHEEK</t>
  </si>
  <si>
    <t>W147</t>
  </si>
  <si>
    <t>R City Mall</t>
  </si>
  <si>
    <t>mumbaircity@gkblens.com</t>
  </si>
  <si>
    <t>SANJAY GOVIND HARMALKAR</t>
  </si>
  <si>
    <t>W146</t>
  </si>
  <si>
    <t>PHOENIX  PALLADIUM MALL</t>
  </si>
  <si>
    <t>GUJARAT</t>
  </si>
  <si>
    <t>ahmdpalladium@gkblens.com</t>
  </si>
  <si>
    <t>MANSURI IRFAN KASAMBHAI</t>
  </si>
  <si>
    <t>W145</t>
  </si>
  <si>
    <t>BHARTIYA CITY</t>
  </si>
  <si>
    <t>gkbbhartiya@gkblens.com</t>
  </si>
  <si>
    <t>IRFAN PASHA</t>
  </si>
  <si>
    <t>W074</t>
  </si>
  <si>
    <t>AIRPORT- BIAL T2</t>
  </si>
  <si>
    <t>gkbbial@gkblens.com</t>
  </si>
  <si>
    <t>W123</t>
  </si>
  <si>
    <t>FORUM FALCON</t>
  </si>
  <si>
    <t>falconbangalore@gkblens.com</t>
  </si>
  <si>
    <t>B N ANAND KUMAR</t>
  </si>
  <si>
    <t>MADHAYA PRADESH</t>
  </si>
  <si>
    <t>indorephoenix@gkblens.com</t>
  </si>
  <si>
    <t>SHOKINDRA KUMAR</t>
  </si>
  <si>
    <t>W060</t>
  </si>
  <si>
    <t>Oberoi Mall</t>
  </si>
  <si>
    <t>oberoimumbai@gkblens.com</t>
  </si>
  <si>
    <t>UNNATI DHARMESH SHAH</t>
  </si>
  <si>
    <t>W142</t>
  </si>
  <si>
    <t>PHOENIX PALASSIO</t>
  </si>
  <si>
    <t>LUCKNOW</t>
  </si>
  <si>
    <t>UTTAR PRADESH</t>
  </si>
  <si>
    <t>phoenixlucknow@gkblens.com</t>
  </si>
  <si>
    <t>SUSHIL KUMAR PAHARI</t>
  </si>
  <si>
    <t>ahmedabadone@gkblens.com</t>
  </si>
  <si>
    <t>SHRIMALI SANJAYBHAI</t>
  </si>
  <si>
    <t>W115</t>
  </si>
  <si>
    <t>JAMSHEDPUR</t>
  </si>
  <si>
    <t>JHARKHAND</t>
  </si>
  <si>
    <t>jamshedpur@gkblens.com</t>
  </si>
  <si>
    <t>RAM KRISHNA</t>
  </si>
  <si>
    <t>W138</t>
  </si>
  <si>
    <t>BHUBANESHWAR ESPLANADE MALL</t>
  </si>
  <si>
    <t>BHUBANESHWAR</t>
  </si>
  <si>
    <t>ODISHA</t>
  </si>
  <si>
    <t>bbsresplanade@gkblens.com</t>
  </si>
  <si>
    <t>BINOD KUMAR PATNAIK</t>
  </si>
  <si>
    <t>W137</t>
  </si>
  <si>
    <t>SARATH CITY</t>
  </si>
  <si>
    <t>sarathcity@gkblens.com</t>
  </si>
  <si>
    <t>MOHD SHOEB AHMED ZUBAIRI</t>
  </si>
  <si>
    <t>W136</t>
  </si>
  <si>
    <t>AMBIENCE MALL</t>
  </si>
  <si>
    <t>ambiencegurgaon@gkblens.com</t>
  </si>
  <si>
    <t>VIJAY KUMAR</t>
  </si>
  <si>
    <t>W132</t>
  </si>
  <si>
    <t>POWAI MUMBAI</t>
  </si>
  <si>
    <t>powaimumbai@gkblens.com</t>
  </si>
  <si>
    <t>NAZIM SHAMSHUDDIN JAMADAR</t>
  </si>
  <si>
    <t>brigadebangalore@gkblens.com</t>
  </si>
  <si>
    <t>MOHAMMED SUFIYAN</t>
  </si>
  <si>
    <t>W130</t>
  </si>
  <si>
    <t>BEHALA SILPARA</t>
  </si>
  <si>
    <r>
      <t>KOLKATA</t>
    </r>
    <r>
      <rPr>
        <sz val="11"/>
        <rFont val="Calibri"/>
        <family val="2"/>
      </rPr>
      <t xml:space="preserve">  </t>
    </r>
  </si>
  <si>
    <t>WEST BENGAL</t>
  </si>
  <si>
    <t>koldhroad@gkblens.com</t>
  </si>
  <si>
    <t>SAPTARSHI ROY CHOWDHURY</t>
  </si>
  <si>
    <t>PUNJAB</t>
  </si>
  <si>
    <t>ludhiana@gkblens.com</t>
  </si>
  <si>
    <t>PANKAJ KUMAR JHA</t>
  </si>
  <si>
    <t>W129</t>
  </si>
  <si>
    <t>TIKAM PLAZA</t>
  </si>
  <si>
    <t>GUWAHATI</t>
  </si>
  <si>
    <t>ASSAM</t>
  </si>
  <si>
    <t>guwahati@gkblens.com</t>
  </si>
  <si>
    <t>GOPAL KRISHNA MISHRA</t>
  </si>
  <si>
    <t>citycentresiliguri@gkblens.com</t>
  </si>
  <si>
    <t>SOURAV MUKHERJEE</t>
  </si>
  <si>
    <t>VIZAG</t>
  </si>
  <si>
    <t>ANDHRA PRADESH</t>
  </si>
  <si>
    <t>siripuramvizag@gkblens.com</t>
  </si>
  <si>
    <t>VALLAMSETTI PRASAD RAO</t>
  </si>
  <si>
    <t>W126</t>
  </si>
  <si>
    <t>GALLERIA</t>
  </si>
  <si>
    <t>dlfgalleria@gkblens.com</t>
  </si>
  <si>
    <t>AJAY YADAV</t>
  </si>
  <si>
    <t>W125</t>
  </si>
  <si>
    <t>NEXUS SEAWOOD MALL, NAVI MUMBAI</t>
  </si>
  <si>
    <t>seawoodmumbai@gkblens.com</t>
  </si>
  <si>
    <t>DINESH HARILAL GUPTA</t>
  </si>
  <si>
    <t>punephoenix@gkblens.com</t>
  </si>
  <si>
    <t>ABDUL RAFIQUE ABDUL RASHID PATEL</t>
  </si>
  <si>
    <t>W121</t>
  </si>
  <si>
    <t xml:space="preserve">INORBIT, MALAD, </t>
  </si>
  <si>
    <t>maladinorbit@gkblens.com</t>
  </si>
  <si>
    <t>MOHAMMAD NADEEM</t>
  </si>
  <si>
    <t>W119</t>
  </si>
  <si>
    <t>INFINITI, MALAD,</t>
  </si>
  <si>
    <t>maladinfinity@gkblens.com</t>
  </si>
  <si>
    <t>MAYUR MAHENDRA SHAH</t>
  </si>
  <si>
    <t>W118</t>
  </si>
  <si>
    <t>ACROPOLIS MALL</t>
  </si>
  <si>
    <t>acropolis@gkblens.com</t>
  </si>
  <si>
    <t>S K NAYEEMUDDIN</t>
  </si>
  <si>
    <t>arjunmarg@gkblens.com</t>
  </si>
  <si>
    <t>VIVEK KUMAR</t>
  </si>
  <si>
    <t>ranchi@gkblens.com</t>
  </si>
  <si>
    <t>TANMOY ROY</t>
  </si>
  <si>
    <t>W111</t>
  </si>
  <si>
    <t xml:space="preserve">AVANI RIVERSIDE MALL-HOWRAH </t>
  </si>
  <si>
    <t>gkbavani@gkblens.com</t>
  </si>
  <si>
    <t>YASEER AHMED</t>
  </si>
  <si>
    <t>W103</t>
  </si>
  <si>
    <t>QUEST MALL</t>
  </si>
  <si>
    <t>gkbquest@gkblens.com</t>
  </si>
  <si>
    <t>NIRMAL KUMAR PANDEY</t>
  </si>
  <si>
    <t>W108</t>
  </si>
  <si>
    <t>CHANDIGARH ELANTE MALL</t>
  </si>
  <si>
    <t>CHANDIGARH</t>
  </si>
  <si>
    <t>chandigarh@gkblens.com</t>
  </si>
  <si>
    <t>VIKKI</t>
  </si>
  <si>
    <t>W106</t>
  </si>
  <si>
    <t>phoenixchennai@gkblens.com</t>
  </si>
  <si>
    <t>RAGLAND FELIX RAJ</t>
  </si>
  <si>
    <t>W105</t>
  </si>
  <si>
    <t>gkbphoenix@gkblens.com</t>
  </si>
  <si>
    <t>DINESH C B</t>
  </si>
  <si>
    <t>W104</t>
  </si>
  <si>
    <t>BHUBANESHWAR, SAHEEDNAGAR</t>
  </si>
  <si>
    <t>bhubaneshwar@gkblens.com</t>
  </si>
  <si>
    <t>NIHAR RANJAN SAHOO</t>
  </si>
  <si>
    <t>W090</t>
  </si>
  <si>
    <t>AMANORA MALL</t>
  </si>
  <si>
    <t>amanora@gkblens.com</t>
  </si>
  <si>
    <t>RAVSAHEB B CHAVAN</t>
  </si>
  <si>
    <t>DURGAPUR</t>
  </si>
  <si>
    <t>durgapur@gkblens.com</t>
  </si>
  <si>
    <t>KALLOL SINGHA</t>
  </si>
  <si>
    <t>W087</t>
  </si>
  <si>
    <t>T-NAGAR</t>
  </si>
  <si>
    <t>tnagar@gkblens.com</t>
  </si>
  <si>
    <t>S. SARAVANAN</t>
  </si>
  <si>
    <t>W082</t>
  </si>
  <si>
    <t>EXPRESS MALL</t>
  </si>
  <si>
    <t>expressmall@gkblens.com</t>
  </si>
  <si>
    <t>DOLFRED HUGHES</t>
  </si>
  <si>
    <t>W084</t>
  </si>
  <si>
    <t>VADODARA INORBIT MALL</t>
  </si>
  <si>
    <t>VADODARA</t>
  </si>
  <si>
    <t>vadodara2@gkblens.com</t>
  </si>
  <si>
    <t>SHAH DHARMESH</t>
  </si>
  <si>
    <t>W080</t>
  </si>
  <si>
    <t>CITY CENTRE (Rajarhat)</t>
  </si>
  <si>
    <t>citycentre2@gkblens.com</t>
  </si>
  <si>
    <t>RAJA RAKSHIT</t>
  </si>
  <si>
    <t>W079</t>
  </si>
  <si>
    <t>JUBILEE HILLS</t>
  </si>
  <si>
    <t>jubileehills@gkblens.com</t>
  </si>
  <si>
    <t>PRADEEP LALCHANDANI</t>
  </si>
  <si>
    <t>W078</t>
  </si>
  <si>
    <t>VASHI SEC-17</t>
  </si>
  <si>
    <t>vashi2@gkblens.com</t>
  </si>
  <si>
    <t>MOHAMMED SHAFIK SARANG</t>
  </si>
  <si>
    <t>W076</t>
  </si>
  <si>
    <t>INDIRANAGAR</t>
  </si>
  <si>
    <t>indiranagar@gkblens.com</t>
  </si>
  <si>
    <t>DUSHYANT KUMAR</t>
  </si>
  <si>
    <t>koramangla@gkblens.com</t>
  </si>
  <si>
    <t>RANADIP DAS</t>
  </si>
  <si>
    <t>pondy@gkblens.com</t>
  </si>
  <si>
    <t>C M RAGOU</t>
  </si>
  <si>
    <t>W033</t>
  </si>
  <si>
    <t>GURUSADAY</t>
  </si>
  <si>
    <t>gurusaday@gkblens.com</t>
  </si>
  <si>
    <t>SUKANTO BANERJEE</t>
  </si>
  <si>
    <t>W069</t>
  </si>
  <si>
    <t>VELACHERY</t>
  </si>
  <si>
    <t>velachery@gkblens.com</t>
  </si>
  <si>
    <t>SAI SANKER G B</t>
  </si>
  <si>
    <t>W043</t>
  </si>
  <si>
    <t>MYSORE</t>
  </si>
  <si>
    <t>mysore@gkblens.com</t>
  </si>
  <si>
    <t>PREETI H N</t>
  </si>
  <si>
    <t>W057</t>
  </si>
  <si>
    <t>SOUTH CITY</t>
  </si>
  <si>
    <t>southcity@gkblens.com</t>
  </si>
  <si>
    <t>SWARNADEEP BANERJEE</t>
  </si>
  <si>
    <t>kalyaninagar@gkblens.com</t>
  </si>
  <si>
    <t>FAIZAN SHAH KHAN</t>
  </si>
  <si>
    <t>W048</t>
  </si>
  <si>
    <t>CURRENCY TOWER</t>
  </si>
  <si>
    <t>RAIPUR</t>
  </si>
  <si>
    <t>CHATTISGARH</t>
  </si>
  <si>
    <t>raipur@gkblens.com</t>
  </si>
  <si>
    <t>AYON DASGUPTA</t>
  </si>
  <si>
    <t>W061</t>
  </si>
  <si>
    <t xml:space="preserve">MG ROAD </t>
  </si>
  <si>
    <t>blmgroad@gkblens.com</t>
  </si>
  <si>
    <t>SOUMYA DASGUPTA</t>
  </si>
  <si>
    <t>NOIDA</t>
  </si>
  <si>
    <t>noida@gkblens.com</t>
  </si>
  <si>
    <t>KAPIL KUMAR</t>
  </si>
  <si>
    <t>W039</t>
  </si>
  <si>
    <t>MI ROAD</t>
  </si>
  <si>
    <t>miroad@gkblens.com</t>
  </si>
  <si>
    <t>MAHENDRA SHARMA</t>
  </si>
  <si>
    <t>W034</t>
  </si>
  <si>
    <t>RAJDANGA</t>
  </si>
  <si>
    <t>ruby@gkblens.com</t>
  </si>
  <si>
    <t>PROTICK DAS</t>
  </si>
  <si>
    <t>W030</t>
  </si>
  <si>
    <t>CITY PULSE</t>
  </si>
  <si>
    <t>gkbjaipur@gkblens.com</t>
  </si>
  <si>
    <t>SANJAY KUMAR</t>
  </si>
  <si>
    <t>W028</t>
  </si>
  <si>
    <t>ANNANAGAR</t>
  </si>
  <si>
    <t>annanagar@gkblens.com</t>
  </si>
  <si>
    <t>SHARATH P. TIWARI</t>
  </si>
  <si>
    <t>hilandpark@gkblens.com</t>
  </si>
  <si>
    <t>MD RAHIM</t>
  </si>
  <si>
    <t>W027</t>
  </si>
  <si>
    <t>PUNE MG ROAD</t>
  </si>
  <si>
    <t>punemgroad@gkblens.com</t>
  </si>
  <si>
    <t>TAPAS DE</t>
  </si>
  <si>
    <t>W026</t>
  </si>
  <si>
    <t>VIZAG DONDARPARTHI</t>
  </si>
  <si>
    <t>gkbvizag@gkblens.com</t>
  </si>
  <si>
    <t>SINGURU MADHU</t>
  </si>
  <si>
    <t>W025</t>
  </si>
  <si>
    <t>ALWARPET</t>
  </si>
  <si>
    <t>alwarpet@gkblens.com</t>
  </si>
  <si>
    <t>S VIJAY KUMAR</t>
  </si>
  <si>
    <t>W022</t>
  </si>
  <si>
    <t>CITY CENTRE (Salt Lake)</t>
  </si>
  <si>
    <t>citycentre@gkblens.com</t>
  </si>
  <si>
    <t>SANTANU GHOSH</t>
  </si>
  <si>
    <t>W020</t>
  </si>
  <si>
    <t>DADAR</t>
  </si>
  <si>
    <t>dadar@gkblens.com</t>
  </si>
  <si>
    <t>TARANATH SHETTY</t>
  </si>
  <si>
    <t>W019</t>
  </si>
  <si>
    <t>HIMAYATHNAGAR</t>
  </si>
  <si>
    <t>himayathnagar@gkblens.com</t>
  </si>
  <si>
    <t>PRAKASH MEHTA</t>
  </si>
  <si>
    <t>W021</t>
  </si>
  <si>
    <t>JORAMANDIR</t>
  </si>
  <si>
    <t>vip@gkblens.com</t>
  </si>
  <si>
    <t>JAYANTA KHAN</t>
  </si>
  <si>
    <t>W018</t>
  </si>
  <si>
    <t>GKB VISION LOUNGE (SANTACRUZ)</t>
  </si>
  <si>
    <t>santacruz@gkblens.com</t>
  </si>
  <si>
    <t>ROHITH AFZAL KHAN</t>
  </si>
  <si>
    <t>W017</t>
  </si>
  <si>
    <t>NUNGAMBAKKAM</t>
  </si>
  <si>
    <t>nungambakkam@gkblens.com</t>
  </si>
  <si>
    <t>CHITRAVELU S</t>
  </si>
  <si>
    <t>W016</t>
  </si>
  <si>
    <t>MALLESWARAM</t>
  </si>
  <si>
    <t>malleswaram@gkblens.com</t>
  </si>
  <si>
    <t>K NAGRAJ</t>
  </si>
  <si>
    <t>W015</t>
  </si>
  <si>
    <t>VASAVI PLAZA</t>
  </si>
  <si>
    <t>vasaviplaza@gkblens.com</t>
  </si>
  <si>
    <t>LAKSHMI R</t>
  </si>
  <si>
    <t>W006</t>
  </si>
  <si>
    <t>PARK STREET</t>
  </si>
  <si>
    <t>parkstreet@gkblens.com</t>
  </si>
  <si>
    <t>IMRAN KHAN</t>
  </si>
  <si>
    <t>W010</t>
  </si>
  <si>
    <t>MYLAPORE</t>
  </si>
  <si>
    <t>mylapore@gkblens.com </t>
  </si>
  <si>
    <t>HARIPRASAD B</t>
  </si>
  <si>
    <t>W001</t>
  </si>
  <si>
    <t>RASHBEHARI</t>
  </si>
  <si>
    <t>rashbehari@gkblens.com</t>
  </si>
  <si>
    <t>SANJIB DEY</t>
  </si>
  <si>
    <t>W009</t>
  </si>
  <si>
    <t>ADYAR</t>
  </si>
  <si>
    <t>adyar@gkblens.com</t>
  </si>
  <si>
    <t>R SUNIL</t>
  </si>
  <si>
    <t>W005</t>
  </si>
  <si>
    <t>SALT LAKE</t>
  </si>
  <si>
    <t>saltlake@gkblens.com</t>
  </si>
  <si>
    <t>SAUMYA RUP GUHA</t>
  </si>
  <si>
    <t>W500</t>
  </si>
  <si>
    <t>GARIAHAT</t>
  </si>
  <si>
    <t>gkbgariahat@gkblens.com</t>
  </si>
  <si>
    <t>PULAK DASGUPTA</t>
  </si>
  <si>
    <t>Month</t>
  </si>
  <si>
    <t>Bill Type</t>
  </si>
  <si>
    <t>Rx</t>
  </si>
  <si>
    <t>2128360</t>
  </si>
  <si>
    <t>Essilor ComfortMax</t>
  </si>
  <si>
    <t>1.50 Varilux Comfort Max Gen S Rock Grey</t>
  </si>
  <si>
    <t>CRIZALRCK</t>
  </si>
  <si>
    <t>IG002</t>
  </si>
  <si>
    <t>#161599102018</t>
  </si>
  <si>
    <t>CS0586897</t>
  </si>
  <si>
    <t>GST Discount</t>
  </si>
  <si>
    <t>R0059-R Balachandran</t>
  </si>
  <si>
    <t>OCIW16126000200</t>
  </si>
  <si>
    <t>W161-599-17743689444</t>
  </si>
  <si>
    <t>11178</t>
  </si>
  <si>
    <t>Crizal FSV</t>
  </si>
  <si>
    <t>1.50 Crizal FSV Clear Easy Pro BCT</t>
  </si>
  <si>
    <t>CRIZALESPR</t>
  </si>
  <si>
    <t>IG001</t>
  </si>
  <si>
    <t>8511203</t>
  </si>
  <si>
    <t>NikonPureBlueUV</t>
  </si>
  <si>
    <t>1.67 NIKON AS FSV CLEAR PURE BLUE UV SCN</t>
  </si>
  <si>
    <t>PUBLUV</t>
  </si>
  <si>
    <t>IG003</t>
  </si>
  <si>
    <t>8511201</t>
  </si>
  <si>
    <t>1.56 NIKON AS FSV CLEAR PURE BLUE UV ECC</t>
  </si>
  <si>
    <t>9510992483</t>
  </si>
  <si>
    <t>Nova Sports</t>
  </si>
  <si>
    <t>1.60 Nova Sports Clear S/V</t>
  </si>
  <si>
    <t>SATINPUV</t>
  </si>
  <si>
    <t>MIRTMC</t>
  </si>
  <si>
    <t>IG95</t>
  </si>
  <si>
    <t>9510883622</t>
  </si>
  <si>
    <t>Rodenstock Multigre MyLife2IND</t>
  </si>
  <si>
    <t>1.67 Rodenstock Multigressiv MyLife2 CLM3 BR  IND Allround</t>
  </si>
  <si>
    <t>SOLTRPR</t>
  </si>
  <si>
    <t>111716</t>
  </si>
  <si>
    <t>1.60 Crizal FSV Clear Rock BCT</t>
  </si>
  <si>
    <t>111718</t>
  </si>
  <si>
    <t>1.67 Crizal FSV Clear Rock BCT</t>
  </si>
  <si>
    <t>9510821860</t>
  </si>
  <si>
    <t>Blumax Nova UHD</t>
  </si>
  <si>
    <t>1.56 XT Nova UHD Blumax Short</t>
  </si>
  <si>
    <t>Crizal Hapiness</t>
  </si>
  <si>
    <t>2011161</t>
  </si>
  <si>
    <t>EyePRO SV</t>
  </si>
  <si>
    <t xml:space="preserve">1.50 EyePro Celar Rx </t>
  </si>
  <si>
    <t>DHMC+</t>
  </si>
  <si>
    <t>TINTCHRG</t>
  </si>
  <si>
    <t>IG20</t>
  </si>
  <si>
    <t>95108836328</t>
  </si>
  <si>
    <t>Nova  Trendfree</t>
  </si>
  <si>
    <t>1.56 Nova Trendfree 2.0 Sunlite Blumax Grey Short</t>
  </si>
  <si>
    <t>TF Modstar 10P</t>
  </si>
  <si>
    <t>211715</t>
  </si>
  <si>
    <t>Crizal SV</t>
  </si>
  <si>
    <t>1.67 Crizal SV  Rock BCT</t>
  </si>
  <si>
    <t>11185</t>
  </si>
  <si>
    <t>1.50 Crizal FSV TGen S Sapphire HR Grey</t>
  </si>
  <si>
    <t>CRIZALSPHR</t>
  </si>
  <si>
    <t>111713</t>
  </si>
  <si>
    <t>1.59 Crizal FSV Clear Easy Pro BCT</t>
  </si>
  <si>
    <t>9510992623</t>
  </si>
  <si>
    <t>Nova Plus Pal</t>
  </si>
  <si>
    <t>1.60 Nova Plus 3.0 Pal Gen S  Grey SC</t>
  </si>
  <si>
    <t>8511202</t>
  </si>
  <si>
    <t>1.60 NIKON AS FSV  MR8  CLEAR PURE BLUE UV ECC</t>
  </si>
  <si>
    <t>21181143</t>
  </si>
  <si>
    <t>1.50 Crizal FSV Gen S  Amber Brown</t>
  </si>
  <si>
    <t>CRIZAL</t>
  </si>
  <si>
    <t>8625017</t>
  </si>
  <si>
    <t>Nikon Presio WZ</t>
  </si>
  <si>
    <t>1.60 NIKON PRESIO W Z  MR8  CLEAR PURE BLUE UV ECC</t>
  </si>
  <si>
    <t>PUBLUVECC</t>
  </si>
  <si>
    <t>IG004</t>
  </si>
  <si>
    <t>Noida - Unitech</t>
  </si>
  <si>
    <t>#038524104929</t>
  </si>
  <si>
    <t>CS0091648</t>
  </si>
  <si>
    <t>D0024-Dhirendra Kr M</t>
  </si>
  <si>
    <t>Only Fr</t>
  </si>
  <si>
    <t>#160598102043</t>
  </si>
  <si>
    <t>CW105-0014155</t>
  </si>
  <si>
    <t>N0042-Nitesh Singh N</t>
  </si>
  <si>
    <t>#161599101873</t>
  </si>
  <si>
    <t>CS0131725</t>
  </si>
  <si>
    <t>Bangalore - Brigade Orion</t>
  </si>
  <si>
    <t>#131570110257</t>
  </si>
  <si>
    <t>TF248 52E 1/3 HENRY (BROWN) PHOTOCHROMIC</t>
  </si>
  <si>
    <t>CW131-0004203</t>
  </si>
  <si>
    <t>M0075-M S Nachappa</t>
  </si>
  <si>
    <t>W131-570-17730406855</t>
  </si>
  <si>
    <t>Plano Sg</t>
  </si>
  <si>
    <t>Row Labels</t>
  </si>
  <si>
    <t>Feb</t>
  </si>
  <si>
    <t>Mar</t>
  </si>
  <si>
    <t>Apr</t>
  </si>
  <si>
    <t>May</t>
  </si>
  <si>
    <t>Jun</t>
  </si>
  <si>
    <t>Jul</t>
  </si>
  <si>
    <t>#160598200866</t>
  </si>
  <si>
    <t>#160598200867</t>
  </si>
  <si>
    <t>Vizag - Siripuram</t>
  </si>
  <si>
    <t>#127566105434</t>
  </si>
  <si>
    <t>CW019-005811</t>
  </si>
  <si>
    <t>EOSSNB1P</t>
  </si>
  <si>
    <t>G0030-Ganesh Gupta</t>
  </si>
  <si>
    <t>OCIW12726000542</t>
  </si>
  <si>
    <t>W127-566-17850656478</t>
  </si>
  <si>
    <t>#073534110687</t>
  </si>
  <si>
    <t>CW073-005392</t>
  </si>
  <si>
    <t>OCIW07326000884</t>
  </si>
  <si>
    <t>W073-534-17866085131</t>
  </si>
  <si>
    <t>2118253</t>
  </si>
  <si>
    <t>2010992461</t>
  </si>
  <si>
    <t>1.60 Essilor Sv Crizaleasy Pro  BlueCut</t>
  </si>
  <si>
    <t>Rodenstock FSV</t>
  </si>
  <si>
    <t>1.67MR 10 Rodenstock Cosmolite PROBlue</t>
  </si>
  <si>
    <t>SOLTR</t>
  </si>
  <si>
    <t>Total Sale</t>
  </si>
  <si>
    <t>Store Incentive</t>
  </si>
  <si>
    <t>AD</t>
  </si>
  <si>
    <t>DN</t>
  </si>
  <si>
    <t>DS</t>
  </si>
  <si>
    <t>JD</t>
  </si>
  <si>
    <t>Aug</t>
  </si>
  <si>
    <t>MODSTAR / TOMFORD — SALES PERFORMANCE DASHBOARD</t>
  </si>
  <si>
    <t>DISCOUNT</t>
  </si>
  <si>
    <t>INCENTIVE</t>
  </si>
  <si>
    <t>Sales Mix</t>
  </si>
  <si>
    <t>Incentive</t>
  </si>
  <si>
    <t>Segment</t>
  </si>
  <si>
    <t>Qty Sales</t>
  </si>
  <si>
    <t>Sum of Qty Sales</t>
  </si>
  <si>
    <t xml:space="preserve"> Qty Sales</t>
  </si>
  <si>
    <t>Qty Sale</t>
  </si>
  <si>
    <t>Contribution%</t>
  </si>
  <si>
    <t>Lens</t>
  </si>
  <si>
    <t>Top to Bottom Retail by Qty Sale With out Rx</t>
  </si>
  <si>
    <t>Disc Amount without Rx</t>
  </si>
  <si>
    <t xml:space="preserve">SALE QTY FRAME </t>
  </si>
  <si>
    <t>SALE QTY SUNGLASS</t>
  </si>
  <si>
    <t>SALE QTY Rx</t>
  </si>
  <si>
    <t xml:space="preserve">STOCK QTY FRAME </t>
  </si>
  <si>
    <t>STOCK QTY SUNGLASS</t>
  </si>
  <si>
    <t>Monthly Trend Without Rx</t>
  </si>
  <si>
    <t>TOTAL SALE QTY WITH RX</t>
  </si>
  <si>
    <t>Total Sale with Rx</t>
  </si>
  <si>
    <t>Total Sale Qty without Rx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</si>
</sst>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 * #,##0.00_ ;_ * \-#,##0.00_ ;_ * &quot;-&quot;??_ ;_ @_ "/>
    <numFmt numFmtId="164" formatCode="[$-409]d\-mmm\-yy;@"/>
    <numFmt numFmtId="165" formatCode="[$-409]mmm\-yy;@"/>
    <numFmt numFmtId="168" formatCode="_ * #,##0_ ;_ * \-#,##0_ ;_ * &quot;-&quot;??_ ;_ @_ "/>
    <numFmt numFmtId="169" formatCode="mmm\-yyyy"/>
  </numFmts>
  <fonts count="27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u/>
      <sz val="11"/>
      <color theme="1"/>
      <name val="Aptos Narrow"/>
      <family val="2"/>
      <scheme val="minor"/>
    </font>
    <font>
      <b/>
      <sz val="11"/>
      <color rgb="FF000000"/>
      <name val="Calibri"/>
      <family val="2"/>
    </font>
    <font>
      <sz val="11"/>
      <name val="Calibri"/>
      <family val="2"/>
    </font>
    <font>
      <b/>
      <sz val="12"/>
      <color theme="0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sz val="13"/>
      <color theme="0" tint="-4.9989318521683403E-2"/>
      <name val="Aptos Narrow"/>
      <family val="2"/>
      <scheme val="minor"/>
    </font>
    <font>
      <sz val="11"/>
      <name val="Aptos Narrow"/>
      <family val="2"/>
      <scheme val="minor"/>
    </font>
    <font>
      <sz val="11"/>
      <color rgb="FF000000"/>
      <name val="Aptos Narrow"/>
      <family val="2"/>
      <scheme val="minor"/>
    </font>
    <font>
      <sz val="11"/>
      <color indexed="8"/>
      <name val="Aptos Narrow"/>
      <family val="2"/>
      <scheme val="minor"/>
    </font>
    <font>
      <sz val="10"/>
      <name val="Arial"/>
      <family val="2"/>
    </font>
    <font>
      <sz val="9"/>
      <name val="Arial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2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1"/>
      <color rgb="FFFFFFFF"/>
      <name val="Aptos Narrow"/>
      <family val="2"/>
    </font>
    <font>
      <b/>
      <sz val="22"/>
      <color rgb="FFFFFFFF"/>
      <name val="Aptos Narrow"/>
      <family val="2"/>
    </font>
    <font>
      <b/>
      <sz val="16"/>
      <color rgb="FF17365D"/>
      <name val="Aptos Narrow"/>
      <family val="2"/>
    </font>
    <font>
      <b/>
      <sz val="14"/>
      <color rgb="FF17365D"/>
      <name val="Aptos Narrow"/>
      <family val="2"/>
    </font>
    <font>
      <b/>
      <sz val="12"/>
      <color rgb="FF17365D"/>
      <name val="Aptos Narrow"/>
      <family val="2"/>
    </font>
    <font>
      <sz val="22"/>
      <color theme="1"/>
      <name val="Aptos Narrow"/>
      <family val="2"/>
      <scheme val="minor"/>
    </font>
  </fonts>
  <fills count="17">
    <fill>
      <patternFill patternType="none"/>
    </fill>
    <fill>
      <patternFill patternType="gray125"/>
    </fill>
    <fill>
      <patternFill patternType="solid">
        <fgColor rgb="FFDDEBF7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FFFFFF"/>
        <bgColor indexed="64"/>
      </patternFill>
    </fill>
    <fill>
      <patternFill patternType="solid">
        <fgColor theme="2" tint="-0.8999908444471571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7030A0"/>
        <bgColor theme="4" tint="0.79998168889431442"/>
      </patternFill>
    </fill>
    <fill>
      <patternFill patternType="solid">
        <fgColor rgb="FF2F75B5"/>
      </patternFill>
    </fill>
    <fill>
      <patternFill patternType="solid">
        <fgColor rgb="FF17365D"/>
      </patternFill>
    </fill>
    <fill>
      <patternFill patternType="solid">
        <fgColor rgb="FFD9EAF7"/>
      </patternFill>
    </fill>
    <fill>
      <patternFill patternType="solid">
        <fgColor theme="8" tint="0.79998168889431442"/>
        <bgColor indexed="64"/>
      </patternFill>
    </fill>
  </fills>
  <borders count="18">
    <border>
      <left/>
      <right/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thin">
        <color theme="4" tint="0.39997558519241921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rgb="FFD9E1F2"/>
      </left>
      <right style="thin">
        <color rgb="FFD9E1F2"/>
      </right>
      <top style="thin">
        <color rgb="FFD9E1F2"/>
      </top>
      <bottom style="thin">
        <color rgb="FFD9E1F2"/>
      </bottom>
      <diagonal/>
    </border>
    <border>
      <left style="thin">
        <color rgb="FFD9E1F2"/>
      </left>
      <right/>
      <top style="thin">
        <color rgb="FFD9E1F2"/>
      </top>
      <bottom style="thin">
        <color rgb="FFD9E1F2"/>
      </bottom>
      <diagonal/>
    </border>
    <border>
      <left/>
      <right style="thin">
        <color rgb="FFD9E1F2"/>
      </right>
      <top style="thin">
        <color rgb="FFD9E1F2"/>
      </top>
      <bottom style="thin">
        <color rgb="FFD9E1F2"/>
      </bottom>
      <diagonal/>
    </border>
  </borders>
  <cellStyleXfs count="7">
    <xf numFmtId="0" fontId="0" fillId="0" borderId="0"/>
    <xf numFmtId="0" fontId="6" fillId="0" borderId="7" applyNumberFormat="0" applyFill="0" applyAlignment="0" applyProtection="0"/>
    <xf numFmtId="0" fontId="7" fillId="0" borderId="0" applyNumberFormat="0" applyFill="0" applyBorder="0" applyAlignment="0" applyProtection="0"/>
    <xf numFmtId="0" fontId="12" fillId="0" borderId="0" applyProtection="0"/>
    <xf numFmtId="0" fontId="13" fillId="0" borderId="0">
      <alignment vertical="center"/>
    </xf>
    <xf numFmtId="43" fontId="16" fillId="0" borderId="0" applyFont="0" applyFill="0" applyBorder="0" applyAlignment="0" applyProtection="0"/>
    <xf numFmtId="9" fontId="16" fillId="0" borderId="0" applyFont="0" applyFill="0" applyBorder="0" applyAlignment="0" applyProtection="0"/>
  </cellStyleXfs>
  <cellXfs count="87">
    <xf numFmtId="0" fontId="0" fillId="0" borderId="0" xfId="0"/>
    <xf numFmtId="0" fontId="2" fillId="0" borderId="0" xfId="0" applyFont="1"/>
    <xf numFmtId="0" fontId="3" fillId="2" borderId="1" xfId="0" applyFont="1" applyFill="1" applyBorder="1" applyAlignment="1">
      <alignment vertical="center"/>
    </xf>
    <xf numFmtId="0" fontId="3" fillId="2" borderId="2" xfId="0" applyFont="1" applyFill="1" applyBorder="1" applyAlignment="1">
      <alignment vertical="center"/>
    </xf>
    <xf numFmtId="0" fontId="3" fillId="0" borderId="1" xfId="0" applyFont="1" applyBorder="1" applyAlignment="1">
      <alignment vertical="center"/>
    </xf>
    <xf numFmtId="0" fontId="3" fillId="0" borderId="2" xfId="0" applyFont="1" applyBorder="1" applyAlignment="1">
      <alignment vertical="center"/>
    </xf>
    <xf numFmtId="164" fontId="0" fillId="0" borderId="0" xfId="0" applyNumberFormat="1"/>
    <xf numFmtId="0" fontId="4" fillId="0" borderId="0" xfId="0" applyFont="1"/>
    <xf numFmtId="164" fontId="4" fillId="0" borderId="0" xfId="0" applyNumberFormat="1" applyFont="1"/>
    <xf numFmtId="0" fontId="0" fillId="0" borderId="0" xfId="0" pivotButton="1"/>
    <xf numFmtId="0" fontId="1" fillId="0" borderId="5" xfId="0" applyFont="1" applyBorder="1"/>
    <xf numFmtId="0" fontId="5" fillId="5" borderId="3" xfId="0" applyFont="1" applyFill="1" applyBorder="1" applyAlignment="1">
      <alignment horizontal="center" vertical="center" wrapText="1"/>
    </xf>
    <xf numFmtId="0" fontId="5" fillId="6" borderId="3" xfId="0" applyFont="1" applyFill="1" applyBorder="1" applyAlignment="1">
      <alignment horizontal="center" vertical="center" wrapText="1"/>
    </xf>
    <xf numFmtId="0" fontId="1" fillId="0" borderId="0" xfId="0" applyFont="1"/>
    <xf numFmtId="164" fontId="1" fillId="0" borderId="0" xfId="0" applyNumberFormat="1" applyFont="1"/>
    <xf numFmtId="0" fontId="0" fillId="0" borderId="0" xfId="0" applyAlignment="1">
      <alignment vertical="center"/>
    </xf>
    <xf numFmtId="0" fontId="0" fillId="8" borderId="0" xfId="0" applyFill="1" applyAlignment="1">
      <alignment horizontal="left" vertical="center"/>
    </xf>
    <xf numFmtId="0" fontId="0" fillId="8" borderId="0" xfId="0" applyFill="1" applyAlignment="1">
      <alignment vertical="center"/>
    </xf>
    <xf numFmtId="0" fontId="0" fillId="8" borderId="0" xfId="0" applyFill="1" applyAlignment="1">
      <alignment horizontal="center" vertical="center"/>
    </xf>
    <xf numFmtId="0" fontId="8" fillId="9" borderId="7" xfId="1" applyFont="1" applyFill="1" applyAlignment="1">
      <alignment horizontal="center" vertical="center" wrapText="1"/>
    </xf>
    <xf numFmtId="0" fontId="9" fillId="8" borderId="0" xfId="0" applyFont="1" applyFill="1" applyAlignment="1">
      <alignment horizontal="center" vertical="center" wrapText="1"/>
    </xf>
    <xf numFmtId="0" fontId="0" fillId="10" borderId="3" xfId="0" applyFill="1" applyBorder="1" applyAlignment="1">
      <alignment horizontal="center" vertical="center"/>
    </xf>
    <xf numFmtId="0" fontId="0" fillId="10" borderId="3" xfId="0" applyFill="1" applyBorder="1" applyAlignment="1">
      <alignment horizontal="left" vertical="center"/>
    </xf>
    <xf numFmtId="164" fontId="0" fillId="10" borderId="3" xfId="0" applyNumberFormat="1" applyFill="1" applyBorder="1" applyAlignment="1">
      <alignment horizontal="left" vertical="center"/>
    </xf>
    <xf numFmtId="0" fontId="11" fillId="10" borderId="3" xfId="2" applyFont="1" applyFill="1" applyBorder="1" applyAlignment="1">
      <alignment horizontal="left" vertical="center"/>
    </xf>
    <xf numFmtId="0" fontId="9" fillId="10" borderId="3" xfId="0" applyFont="1" applyFill="1" applyBorder="1" applyAlignment="1">
      <alignment horizontal="left" vertical="center"/>
    </xf>
    <xf numFmtId="0" fontId="0" fillId="0" borderId="3" xfId="0" applyBorder="1" applyAlignment="1">
      <alignment vertical="center"/>
    </xf>
    <xf numFmtId="0" fontId="10" fillId="10" borderId="3" xfId="0" applyFont="1" applyFill="1" applyBorder="1" applyAlignment="1">
      <alignment horizontal="left" vertical="center"/>
    </xf>
    <xf numFmtId="14" fontId="0" fillId="10" borderId="3" xfId="0" applyNumberFormat="1" applyFill="1" applyBorder="1" applyAlignment="1">
      <alignment horizontal="left" vertical="center"/>
    </xf>
    <xf numFmtId="0" fontId="9" fillId="10" borderId="3" xfId="3" applyFont="1" applyFill="1" applyBorder="1" applyAlignment="1" applyProtection="1">
      <alignment horizontal="left" vertical="center"/>
    </xf>
    <xf numFmtId="0" fontId="9" fillId="10" borderId="3" xfId="4" applyFont="1" applyFill="1" applyBorder="1" applyAlignment="1">
      <alignment horizontal="left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0" fontId="1" fillId="0" borderId="0" xfId="0" applyFont="1" applyAlignment="1">
      <alignment vertical="center"/>
    </xf>
    <xf numFmtId="0" fontId="0" fillId="0" borderId="0" xfId="0" applyAlignment="1">
      <alignment vertical="center" wrapText="1"/>
    </xf>
    <xf numFmtId="15" fontId="0" fillId="0" borderId="0" xfId="0" applyNumberFormat="1" applyAlignment="1">
      <alignment vertical="center"/>
    </xf>
    <xf numFmtId="0" fontId="1" fillId="0" borderId="6" xfId="0" applyFont="1" applyBorder="1"/>
    <xf numFmtId="165" fontId="0" fillId="11" borderId="0" xfId="0" applyNumberFormat="1" applyFill="1"/>
    <xf numFmtId="0" fontId="4" fillId="11" borderId="0" xfId="0" applyFont="1" applyFill="1"/>
    <xf numFmtId="165" fontId="4" fillId="11" borderId="0" xfId="0" applyNumberFormat="1" applyFont="1" applyFill="1"/>
    <xf numFmtId="0" fontId="0" fillId="11" borderId="0" xfId="0" applyFill="1"/>
    <xf numFmtId="165" fontId="1" fillId="11" borderId="0" xfId="0" applyNumberFormat="1" applyFont="1" applyFill="1"/>
    <xf numFmtId="1" fontId="1" fillId="0" borderId="0" xfId="0" applyNumberFormat="1" applyFont="1"/>
    <xf numFmtId="1" fontId="1" fillId="11" borderId="0" xfId="0" applyNumberFormat="1" applyFont="1" applyFill="1"/>
    <xf numFmtId="165" fontId="0" fillId="0" borderId="0" xfId="0" applyNumberFormat="1"/>
    <xf numFmtId="0" fontId="0" fillId="0" borderId="0" xfId="0" applyAlignment="1">
      <alignment horizontal="left"/>
    </xf>
    <xf numFmtId="0" fontId="0" fillId="0" borderId="0" xfId="0" applyNumberFormat="1"/>
    <xf numFmtId="0" fontId="0" fillId="4" borderId="0" xfId="0" applyFill="1"/>
    <xf numFmtId="43" fontId="0" fillId="0" borderId="0" xfId="5" applyFont="1"/>
    <xf numFmtId="168" fontId="0" fillId="0" borderId="0" xfId="5" applyNumberFormat="1" applyFont="1"/>
    <xf numFmtId="168" fontId="1" fillId="0" borderId="0" xfId="5" applyNumberFormat="1" applyFont="1"/>
    <xf numFmtId="0" fontId="5" fillId="4" borderId="3" xfId="0" applyFont="1" applyFill="1" applyBorder="1" applyAlignment="1">
      <alignment horizontal="center" vertical="center" wrapText="1"/>
    </xf>
    <xf numFmtId="0" fontId="0" fillId="4" borderId="0" xfId="0" applyFill="1" applyAlignment="1">
      <alignment horizontal="center" vertical="center" wrapText="1"/>
    </xf>
    <xf numFmtId="0" fontId="5" fillId="5" borderId="9" xfId="0" applyFont="1" applyFill="1" applyBorder="1" applyAlignment="1">
      <alignment horizontal="center" vertical="center" wrapText="1"/>
    </xf>
    <xf numFmtId="0" fontId="5" fillId="6" borderId="9" xfId="0" applyFont="1" applyFill="1" applyBorder="1" applyAlignment="1">
      <alignment horizontal="center" vertical="center" wrapText="1"/>
    </xf>
    <xf numFmtId="0" fontId="17" fillId="12" borderId="8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19" fillId="0" borderId="0" xfId="0" applyFont="1"/>
    <xf numFmtId="0" fontId="20" fillId="0" borderId="0" xfId="0" applyFont="1"/>
    <xf numFmtId="0" fontId="20" fillId="4" borderId="0" xfId="0" applyFont="1" applyFill="1"/>
    <xf numFmtId="0" fontId="19" fillId="3" borderId="4" xfId="0" applyFont="1" applyFill="1" applyBorder="1" applyAlignment="1">
      <alignment horizontal="center" vertical="center" wrapText="1"/>
    </xf>
    <xf numFmtId="0" fontId="19" fillId="3" borderId="6" xfId="0" applyFont="1" applyFill="1" applyBorder="1" applyAlignment="1">
      <alignment horizontal="center" vertical="center" wrapText="1"/>
    </xf>
    <xf numFmtId="165" fontId="19" fillId="7" borderId="12" xfId="0" applyNumberFormat="1" applyFont="1" applyFill="1" applyBorder="1" applyAlignment="1">
      <alignment horizontal="center"/>
    </xf>
    <xf numFmtId="165" fontId="19" fillId="7" borderId="13" xfId="0" applyNumberFormat="1" applyFont="1" applyFill="1" applyBorder="1" applyAlignment="1">
      <alignment horizontal="center"/>
    </xf>
    <xf numFmtId="165" fontId="19" fillId="7" borderId="14" xfId="0" applyNumberFormat="1" applyFont="1" applyFill="1" applyBorder="1" applyAlignment="1">
      <alignment horizontal="center"/>
    </xf>
    <xf numFmtId="165" fontId="19" fillId="7" borderId="13" xfId="0" applyNumberFormat="1" applyFont="1" applyFill="1" applyBorder="1" applyAlignment="1">
      <alignment horizontal="center" vertical="center"/>
    </xf>
    <xf numFmtId="165" fontId="19" fillId="7" borderId="11" xfId="0" applyNumberFormat="1" applyFont="1" applyFill="1" applyBorder="1" applyAlignment="1">
      <alignment horizontal="center" vertical="center"/>
    </xf>
    <xf numFmtId="169" fontId="0" fillId="0" borderId="0" xfId="0" applyNumberFormat="1"/>
    <xf numFmtId="0" fontId="21" fillId="13" borderId="0" xfId="0" applyFont="1" applyFill="1"/>
    <xf numFmtId="0" fontId="22" fillId="14" borderId="0" xfId="0" applyFont="1" applyFill="1" applyAlignment="1">
      <alignment horizontal="center"/>
    </xf>
    <xf numFmtId="0" fontId="0" fillId="0" borderId="15" xfId="0" applyBorder="1"/>
    <xf numFmtId="3" fontId="23" fillId="15" borderId="15" xfId="0" applyNumberFormat="1" applyFont="1" applyFill="1" applyBorder="1" applyAlignment="1">
      <alignment horizontal="center"/>
    </xf>
    <xf numFmtId="0" fontId="24" fillId="0" borderId="0" xfId="0" applyFont="1"/>
    <xf numFmtId="3" fontId="0" fillId="0" borderId="0" xfId="0" applyNumberFormat="1"/>
    <xf numFmtId="3" fontId="23" fillId="15" borderId="16" xfId="0" applyNumberFormat="1" applyFont="1" applyFill="1" applyBorder="1" applyAlignment="1">
      <alignment horizontal="center"/>
    </xf>
    <xf numFmtId="3" fontId="23" fillId="15" borderId="17" xfId="0" applyNumberFormat="1" applyFont="1" applyFill="1" applyBorder="1" applyAlignment="1">
      <alignment horizontal="center"/>
    </xf>
    <xf numFmtId="168" fontId="0" fillId="0" borderId="0" xfId="0" applyNumberFormat="1"/>
    <xf numFmtId="0" fontId="18" fillId="16" borderId="10" xfId="0" applyFont="1" applyFill="1" applyBorder="1"/>
    <xf numFmtId="9" fontId="0" fillId="0" borderId="0" xfId="6" applyFont="1"/>
    <xf numFmtId="0" fontId="21" fillId="13" borderId="15" xfId="0" applyFont="1" applyFill="1" applyBorder="1" applyAlignment="1">
      <alignment horizontal="center"/>
    </xf>
    <xf numFmtId="0" fontId="0" fillId="0" borderId="15" xfId="0" applyFont="1" applyBorder="1"/>
    <xf numFmtId="0" fontId="0" fillId="0" borderId="0" xfId="0" applyFont="1"/>
    <xf numFmtId="0" fontId="21" fillId="13" borderId="16" xfId="0" applyFont="1" applyFill="1" applyBorder="1" applyAlignment="1">
      <alignment horizontal="center"/>
    </xf>
    <xf numFmtId="0" fontId="21" fillId="13" borderId="17" xfId="0" applyFont="1" applyFill="1" applyBorder="1" applyAlignment="1">
      <alignment horizontal="center"/>
    </xf>
    <xf numFmtId="0" fontId="1" fillId="0" borderId="15" xfId="0" applyFont="1" applyBorder="1"/>
    <xf numFmtId="0" fontId="25" fillId="0" borderId="0" xfId="0" applyFont="1"/>
    <xf numFmtId="0" fontId="26" fillId="0" borderId="0" xfId="0" applyFont="1"/>
  </cellXfs>
  <cellStyles count="7">
    <cellStyle name="Comma" xfId="5" builtinId="3"/>
    <cellStyle name="Excel Built-in Normal 2" xfId="3" xr:uid="{66CEBED2-F44D-4273-A22E-1FA1A7DFBBC7}"/>
    <cellStyle name="Heading 2" xfId="1" builtinId="17"/>
    <cellStyle name="Hyperlink" xfId="2" builtinId="8"/>
    <cellStyle name="Normal" xfId="0" builtinId="0"/>
    <cellStyle name="Normal_all_7" xfId="4" xr:uid="{24D8D301-C531-4614-BD48-3F3076F83DE0}"/>
    <cellStyle name="Percent" xfId="6" builtinId="5"/>
  </cellStyles>
  <dxfs count="1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pivotCacheDefinition" Target="pivotCache/pivotCacheDefinition4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pivotCacheDefinition" Target="pivotCache/pivotCacheDefinition3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2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1.xml"/><Relationship Id="rId1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[Modstar Offer and Incentive Report.xlsx]GRAPHICAL!PivotTable5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Top to Bottom Retail by Qty Sale With out Rx</a:t>
            </a:r>
          </a:p>
        </c:rich>
      </c:tx>
      <c:overlay val="0"/>
      <c:spPr>
        <a:noFill/>
        <a:ln>
          <a:solidFill>
            <a:schemeClr val="bg1">
              <a:alpha val="96000"/>
            </a:schemeClr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3.0555555555555555E-2"/>
          <c:y val="5.0925925925925923E-2"/>
          <c:w val="0.81086198600174975"/>
          <c:h val="0.92592592592592593"/>
        </c:manualLayout>
      </c:layout>
      <c:barChart>
        <c:barDir val="bar"/>
        <c:grouping val="clustered"/>
        <c:varyColors val="1"/>
        <c:ser>
          <c:idx val="0"/>
          <c:order val="0"/>
          <c:tx>
            <c:strRef>
              <c:f>GRAPHICAL!$F$11</c:f>
              <c:strCache>
                <c:ptCount val="1"/>
                <c:pt idx="0">
                  <c:v>Total</c:v>
                </c:pt>
              </c:strCache>
            </c:strRef>
          </c:tx>
          <c:invertIfNegative val="1"/>
          <c:dPt>
            <c:idx val="0"/>
            <c:invertIfNegative val="1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</c:dPt>
          <c:dPt>
            <c:idx val="1"/>
            <c:invertIfNegative val="1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</c:dPt>
          <c:dPt>
            <c:idx val="2"/>
            <c:invertIfNegative val="1"/>
            <c:bubble3D val="0"/>
            <c:spPr>
              <a:solidFill>
                <a:schemeClr val="accent3"/>
              </a:solidFill>
              <a:ln>
                <a:noFill/>
              </a:ln>
              <a:effectLst/>
            </c:spPr>
          </c:dPt>
          <c:dPt>
            <c:idx val="3"/>
            <c:invertIfNegative val="1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</c:dPt>
          <c:dPt>
            <c:idx val="4"/>
            <c:invertIfNegative val="1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</c:dPt>
          <c:dPt>
            <c:idx val="5"/>
            <c:invertIfNegative val="1"/>
            <c:bubble3D val="0"/>
            <c:spPr>
              <a:solidFill>
                <a:schemeClr val="accent6"/>
              </a:solidFill>
              <a:ln>
                <a:noFill/>
              </a:ln>
              <a:effectLst/>
            </c:spPr>
          </c:dPt>
          <c:dPt>
            <c:idx val="6"/>
            <c:invertIfNegative val="1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/>
            </c:spPr>
          </c:dPt>
          <c:dPt>
            <c:idx val="7"/>
            <c:invertIfNegative val="1"/>
            <c:bubble3D val="0"/>
            <c:spPr>
              <a:solidFill>
                <a:schemeClr val="accent2">
                  <a:lumMod val="60000"/>
                </a:schemeClr>
              </a:solidFill>
              <a:ln>
                <a:noFill/>
              </a:ln>
              <a:effectLst/>
            </c:spPr>
          </c:dPt>
          <c:dPt>
            <c:idx val="8"/>
            <c:invertIfNegative val="1"/>
            <c:bubble3D val="0"/>
            <c:spPr>
              <a:solidFill>
                <a:schemeClr val="accent3">
                  <a:lumMod val="60000"/>
                </a:schemeClr>
              </a:solidFill>
              <a:ln>
                <a:noFill/>
              </a:ln>
              <a:effectLst/>
            </c:spPr>
          </c:dPt>
          <c:dPt>
            <c:idx val="9"/>
            <c:invertIfNegative val="1"/>
            <c:bubble3D val="0"/>
            <c:spPr>
              <a:solidFill>
                <a:schemeClr val="accent4">
                  <a:lumMod val="60000"/>
                </a:schemeClr>
              </a:solidFill>
              <a:ln>
                <a:noFill/>
              </a:ln>
              <a:effectLst/>
            </c:spPr>
          </c:dPt>
          <c:dPt>
            <c:idx val="10"/>
            <c:invertIfNegative val="1"/>
            <c:bubble3D val="0"/>
            <c:spPr>
              <a:solidFill>
                <a:schemeClr val="accent5">
                  <a:lumMod val="60000"/>
                </a:schemeClr>
              </a:solidFill>
              <a:ln>
                <a:noFill/>
              </a:ln>
              <a:effectLst/>
            </c:spPr>
          </c:dPt>
          <c:dPt>
            <c:idx val="11"/>
            <c:invertIfNegative val="1"/>
            <c:bubble3D val="0"/>
            <c:spPr>
              <a:solidFill>
                <a:schemeClr val="accent6">
                  <a:lumMod val="60000"/>
                </a:schemeClr>
              </a:solidFill>
              <a:ln>
                <a:noFill/>
              </a:ln>
              <a:effectLst/>
            </c:spPr>
          </c:dPt>
          <c:dPt>
            <c:idx val="12"/>
            <c:invertIfNegative val="1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>
                <a:noFill/>
              </a:ln>
              <a:effectLst/>
            </c:spPr>
          </c:dPt>
          <c:dPt>
            <c:idx val="13"/>
            <c:invertIfNegative val="1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>
                <a:noFill/>
              </a:ln>
              <a:effectLst/>
            </c:spPr>
          </c:dPt>
          <c:dPt>
            <c:idx val="14"/>
            <c:invertIfNegative val="1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>
                <a:noFill/>
              </a:ln>
              <a:effectLst/>
            </c:spPr>
          </c:dPt>
          <c:dPt>
            <c:idx val="15"/>
            <c:invertIfNegative val="1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>
                <a:noFill/>
              </a:ln>
              <a:effectLst/>
            </c:spPr>
          </c:dPt>
          <c:dPt>
            <c:idx val="16"/>
            <c:invertIfNegative val="1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>
                <a:noFill/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GRAPHICAL!$E$12:$E$29</c:f>
              <c:strCache>
                <c:ptCount val="17"/>
                <c:pt idx="0">
                  <c:v>LUDHIANA MALHAR ROAD</c:v>
                </c:pt>
                <c:pt idx="1">
                  <c:v>KALYANINAGAR</c:v>
                </c:pt>
                <c:pt idx="2">
                  <c:v>ARJUN MARG</c:v>
                </c:pt>
                <c:pt idx="3">
                  <c:v>BRIGADE ORION</c:v>
                </c:pt>
                <c:pt idx="4">
                  <c:v>PACIFIC MALL</c:v>
                </c:pt>
                <c:pt idx="5">
                  <c:v>VIZAG SIRIPURAM</c:v>
                </c:pt>
                <c:pt idx="6">
                  <c:v>PHOENIX CITADEL</c:v>
                </c:pt>
                <c:pt idx="7">
                  <c:v>GIP MALL NOIDA</c:v>
                </c:pt>
                <c:pt idx="8">
                  <c:v>RANCHI</c:v>
                </c:pt>
                <c:pt idx="9">
                  <c:v>ALPHA MALL</c:v>
                </c:pt>
                <c:pt idx="10">
                  <c:v>HILAND PARK</c:v>
                </c:pt>
                <c:pt idx="11">
                  <c:v>PHOENIX MARKETCITY</c:v>
                </c:pt>
                <c:pt idx="12">
                  <c:v>M5 E City Mall</c:v>
                </c:pt>
                <c:pt idx="13">
                  <c:v>SILIGURI CITY CENTRE</c:v>
                </c:pt>
                <c:pt idx="14">
                  <c:v>PUDUCHERRY </c:v>
                </c:pt>
                <c:pt idx="15">
                  <c:v>KORAMANGALA</c:v>
                </c:pt>
                <c:pt idx="16">
                  <c:v>INDIRANAGAR 2</c:v>
                </c:pt>
              </c:strCache>
            </c:strRef>
          </c:cat>
          <c:val>
            <c:numRef>
              <c:f>GRAPHICAL!$F$12:$F$29</c:f>
              <c:numCache>
                <c:formatCode>#,##0</c:formatCode>
                <c:ptCount val="17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2</c:v>
                </c:pt>
                <c:pt idx="10">
                  <c:v>2</c:v>
                </c:pt>
                <c:pt idx="11">
                  <c:v>3</c:v>
                </c:pt>
                <c:pt idx="12">
                  <c:v>3</c:v>
                </c:pt>
                <c:pt idx="13">
                  <c:v>3</c:v>
                </c:pt>
                <c:pt idx="14">
                  <c:v>4</c:v>
                </c:pt>
                <c:pt idx="15">
                  <c:v>5</c:v>
                </c:pt>
                <c:pt idx="16">
                  <c:v>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23F-417C-8398-2AC197E5ED1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0"/>
        <c:axId val="100"/>
      </c:barChart>
      <c:catAx>
        <c:axId val="1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[Modstar Offer and Incentive Report.xlsx]GRAPHICAL!PivotTable6</c:name>
    <c:fmtId val="8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Monthly Trend Without Rx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ln w="31750" cap="rnd">
            <a:solidFill>
              <a:schemeClr val="accent1"/>
            </a:solidFill>
            <a:round/>
          </a:ln>
          <a:effectLst/>
        </c:spPr>
        <c:marker>
          <c:symbol val="circle"/>
          <c:size val="17"/>
          <c:spPr>
            <a:solidFill>
              <a:schemeClr val="accent1"/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ln w="31750" cap="rnd">
            <a:solidFill>
              <a:schemeClr val="accent1"/>
            </a:solidFill>
            <a:round/>
          </a:ln>
          <a:effectLst/>
        </c:spPr>
        <c:marker>
          <c:symbol val="circle"/>
          <c:size val="17"/>
          <c:spPr>
            <a:solidFill>
              <a:schemeClr val="accent1"/>
            </a:solidFill>
            <a:ln>
              <a:noFill/>
            </a:ln>
            <a:effectLst/>
          </c:spPr>
        </c:marker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GRAPHICAL!$F$51</c:f>
              <c:strCache>
                <c:ptCount val="1"/>
                <c:pt idx="0">
                  <c:v>Total</c:v>
                </c:pt>
              </c:strCache>
            </c:strRef>
          </c:tx>
          <c:spPr>
            <a:ln w="317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17"/>
            <c:spPr>
              <a:solidFill>
                <a:schemeClr val="accent1"/>
              </a:solidFill>
              <a:ln>
                <a:noFill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GRAPHICAL!$E$52:$E$59</c:f>
              <c:strCache>
                <c:ptCount val="7"/>
                <c:pt idx="0">
                  <c:v>Feb</c:v>
                </c:pt>
                <c:pt idx="1">
                  <c:v>Mar</c:v>
                </c:pt>
                <c:pt idx="2">
                  <c:v>Apr</c:v>
                </c:pt>
                <c:pt idx="3">
                  <c:v>May</c:v>
                </c:pt>
                <c:pt idx="4">
                  <c:v>Jun</c:v>
                </c:pt>
                <c:pt idx="5">
                  <c:v>Jul</c:v>
                </c:pt>
                <c:pt idx="6">
                  <c:v>Aug</c:v>
                </c:pt>
              </c:strCache>
            </c:strRef>
          </c:cat>
          <c:val>
            <c:numRef>
              <c:f>GRAPHICAL!$F$52:$F$59</c:f>
              <c:numCache>
                <c:formatCode>General</c:formatCode>
                <c:ptCount val="7"/>
                <c:pt idx="0">
                  <c:v>1</c:v>
                </c:pt>
                <c:pt idx="1">
                  <c:v>4</c:v>
                </c:pt>
                <c:pt idx="2">
                  <c:v>9</c:v>
                </c:pt>
                <c:pt idx="3">
                  <c:v>6</c:v>
                </c:pt>
                <c:pt idx="4">
                  <c:v>15</c:v>
                </c:pt>
                <c:pt idx="5">
                  <c:v>7</c:v>
                </c:pt>
                <c:pt idx="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439-4464-8564-38D59BC27771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831293008"/>
        <c:axId val="478037872"/>
      </c:lineChart>
      <c:catAx>
        <c:axId val="83129300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8037872"/>
        <c:crosses val="autoZero"/>
        <c:auto val="1"/>
        <c:lblAlgn val="ctr"/>
        <c:lblOffset val="100"/>
        <c:noMultiLvlLbl val="0"/>
      </c:catAx>
      <c:valAx>
        <c:axId val="478037872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312930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l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Contribution: Frame / Sunglass / Lens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GRAPHICAL!$K$28</c:f>
              <c:strCache>
                <c:ptCount val="1"/>
                <c:pt idx="0">
                  <c:v>Qty Sale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GRAPHICAL!$J$29:$J$31</c:f>
              <c:strCache>
                <c:ptCount val="3"/>
                <c:pt idx="0">
                  <c:v>Frame</c:v>
                </c:pt>
                <c:pt idx="1">
                  <c:v>Sunglass</c:v>
                </c:pt>
                <c:pt idx="2">
                  <c:v>Lens</c:v>
                </c:pt>
              </c:strCache>
            </c:strRef>
          </c:cat>
          <c:val>
            <c:numRef>
              <c:f>GRAPHICAL!$K$29:$K$31</c:f>
              <c:numCache>
                <c:formatCode>#,##0</c:formatCode>
                <c:ptCount val="3"/>
                <c:pt idx="0">
                  <c:v>34</c:v>
                </c:pt>
                <c:pt idx="1">
                  <c:v>8</c:v>
                </c:pt>
                <c:pt idx="2">
                  <c:v>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48D-4C95-8BCA-28F7F81A1A6F}"/>
            </c:ext>
          </c:extLst>
        </c:ser>
        <c:ser>
          <c:idx val="1"/>
          <c:order val="1"/>
          <c:tx>
            <c:strRef>
              <c:f>GRAPHICAL!$L$28</c:f>
              <c:strCache>
                <c:ptCount val="1"/>
                <c:pt idx="0">
                  <c:v>Contribution%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GRAPHICAL!$J$29:$J$31</c:f>
              <c:strCache>
                <c:ptCount val="3"/>
                <c:pt idx="0">
                  <c:v>Frame</c:v>
                </c:pt>
                <c:pt idx="1">
                  <c:v>Sunglass</c:v>
                </c:pt>
                <c:pt idx="2">
                  <c:v>Lens</c:v>
                </c:pt>
              </c:strCache>
            </c:strRef>
          </c:cat>
          <c:val>
            <c:numRef>
              <c:f>GRAPHICAL!$L$29:$L$31</c:f>
              <c:numCache>
                <c:formatCode>0%</c:formatCode>
                <c:ptCount val="3"/>
                <c:pt idx="0">
                  <c:v>0.39534883720930231</c:v>
                </c:pt>
                <c:pt idx="1">
                  <c:v>9.3023255813953487E-2</c:v>
                </c:pt>
                <c:pt idx="2">
                  <c:v>0.51162790697674421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48D-4C95-8BCA-28F7F81A1A6F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t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>
      <cs:styleClr val="auto"/>
    </cs:fillRef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17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23814</xdr:colOff>
      <xdr:row>7</xdr:row>
      <xdr:rowOff>178592</xdr:rowOff>
    </xdr:from>
    <xdr:to>
      <xdr:col>8</xdr:col>
      <xdr:colOff>523873</xdr:colOff>
      <xdr:row>46</xdr:row>
      <xdr:rowOff>47624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3F0062D8-41FD-45B7-8A9E-15F3EAA7446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23811</xdr:colOff>
      <xdr:row>46</xdr:row>
      <xdr:rowOff>71436</xdr:rowOff>
    </xdr:from>
    <xdr:to>
      <xdr:col>9</xdr:col>
      <xdr:colOff>178592</xdr:colOff>
      <xdr:row>63</xdr:row>
      <xdr:rowOff>142874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4603D4BB-152B-4300-B30B-493BC715B5C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601266</xdr:colOff>
      <xdr:row>8</xdr:row>
      <xdr:rowOff>3571</xdr:rowOff>
    </xdr:from>
    <xdr:to>
      <xdr:col>13</xdr:col>
      <xdr:colOff>130968</xdr:colOff>
      <xdr:row>25</xdr:row>
      <xdr:rowOff>59531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58D5A113-809F-377E-AF46-6963C9DDA9F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Admin\Downloads\Modstar_Tomford_Sales_Analytics_Report.xlsx" TargetMode="External"/><Relationship Id="rId1" Type="http://schemas.openxmlformats.org/officeDocument/2006/relationships/externalLinkPath" Target="Modstar_Tomford_Sales_Analytics_Report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Dashboard"/>
      <sheetName val="Read Me"/>
      <sheetName val="Raw Sale"/>
      <sheetName val="Detailed Sales"/>
      <sheetName val="Daily Sales"/>
      <sheetName val="Monthly Sales"/>
      <sheetName val="Model Wise"/>
      <sheetName val="SKU Wise"/>
      <sheetName val="Store Wise"/>
      <sheetName val="Staff Wise"/>
    </sheetNames>
    <sheetDataSet>
      <sheetData sheetId="0">
        <row r="11">
          <cell r="B11" t="str">
            <v>Net Sales</v>
          </cell>
        </row>
        <row r="12">
          <cell r="A12" t="str">
            <v>TF6106-D-B 001 0</v>
          </cell>
          <cell r="B12">
            <v>153875</v>
          </cell>
        </row>
        <row r="13">
          <cell r="A13" t="str">
            <v>TF5963-B 020 0 ECO</v>
          </cell>
          <cell r="B13">
            <v>134831</v>
          </cell>
        </row>
        <row r="14">
          <cell r="A14" t="str">
            <v>TF6106-D-B 052 0</v>
          </cell>
          <cell r="B14">
            <v>115700</v>
          </cell>
        </row>
        <row r="15">
          <cell r="A15" t="str">
            <v>TF5867-B 052 0</v>
          </cell>
          <cell r="B15">
            <v>108192</v>
          </cell>
        </row>
        <row r="16">
          <cell r="A16" t="str">
            <v>TF5938-B 057 0 ECO</v>
          </cell>
          <cell r="B16">
            <v>94169.72</v>
          </cell>
        </row>
        <row r="17">
          <cell r="A17" t="str">
            <v>TF1213 52E 2 GRAYDON</v>
          </cell>
          <cell r="B17">
            <v>65450</v>
          </cell>
        </row>
        <row r="18">
          <cell r="A18" t="str">
            <v>1.67 Rodenstock Multigressiv MyLife2 CLM3 BR  IND Allround</v>
          </cell>
          <cell r="B18">
            <v>58037.72</v>
          </cell>
        </row>
        <row r="19">
          <cell r="A19" t="str">
            <v>TF5617-B 052</v>
          </cell>
          <cell r="B19">
            <v>52800</v>
          </cell>
        </row>
        <row r="23">
          <cell r="B23" t="str">
            <v>Net Sales</v>
          </cell>
          <cell r="K23" t="str">
            <v>Net Sales</v>
          </cell>
        </row>
        <row r="24">
          <cell r="A24">
            <v>46054</v>
          </cell>
          <cell r="B24">
            <v>36340</v>
          </cell>
          <cell r="J24" t="str">
            <v>Frame</v>
          </cell>
          <cell r="K24">
            <v>1017151.96</v>
          </cell>
        </row>
        <row r="25">
          <cell r="A25">
            <v>46082</v>
          </cell>
          <cell r="B25">
            <v>136222.24</v>
          </cell>
          <cell r="J25" t="str">
            <v>Lens / Other</v>
          </cell>
          <cell r="K25">
            <v>249987.76</v>
          </cell>
        </row>
        <row r="26">
          <cell r="A26">
            <v>46113</v>
          </cell>
          <cell r="B26">
            <v>317362.36</v>
          </cell>
          <cell r="J26" t="str">
            <v>Sunglass</v>
          </cell>
          <cell r="K26">
            <v>345580</v>
          </cell>
        </row>
        <row r="27">
          <cell r="A27">
            <v>46143</v>
          </cell>
          <cell r="B27">
            <v>280010.12</v>
          </cell>
        </row>
        <row r="28">
          <cell r="A28">
            <v>46174</v>
          </cell>
          <cell r="B28">
            <v>610215</v>
          </cell>
        </row>
        <row r="29">
          <cell r="A29">
            <v>46204</v>
          </cell>
          <cell r="B29">
            <v>232570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_rels/pivotCacheDefinition4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4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C" refreshedDate="46136.454574884257" createdVersion="8" refreshedVersion="8" minRefreshableVersion="3" recordCount="7" xr:uid="{917D1682-1929-4B11-9463-5CC70FEC23A7}">
  <cacheSource type="worksheet">
    <worksheetSource ref="A1:AB8" sheet="Summary"/>
  </cacheSource>
  <cacheFields count="28">
    <cacheField name="Store Id" numFmtId="0">
      <sharedItems count="4">
        <s v="W122"/>
        <s v="W149"/>
        <s v="W075"/>
        <s v="W073"/>
      </sharedItems>
    </cacheField>
    <cacheField name="Store Name" numFmtId="0">
      <sharedItems count="4">
        <s v="Pune - Phoenix MC Mall"/>
        <s v="Bangalore - Indira Nagar2"/>
        <s v="Bangalore - Kormangala"/>
        <s v="Puducherry - Mission Street"/>
      </sharedItems>
    </cacheField>
    <cacheField name="Receipt Id" numFmtId="0">
      <sharedItems/>
    </cacheField>
    <cacheField name="Trans Date" numFmtId="164">
      <sharedItems containsSemiMixedTypes="0" containsNonDate="0" containsDate="1" containsString="0" minDate="2026-04-03T00:00:00" maxDate="2026-04-23T00:00:00" count="6">
        <d v="2026-04-03T00:00:00"/>
        <d v="2026-04-13T00:00:00"/>
        <d v="2026-04-18T00:00:00"/>
        <d v="2026-04-20T00:00:00"/>
        <d v="2026-04-21T00:00:00"/>
        <d v="2026-04-22T00:00:00"/>
      </sharedItems>
    </cacheField>
    <cacheField name="Qty" numFmtId="0">
      <sharedItems containsSemiMixedTypes="0" containsString="0" containsNumber="1" containsInteger="1" minValue="1" maxValue="1"/>
    </cacheField>
    <cacheField name="Item Id" numFmtId="0">
      <sharedItems/>
    </cacheField>
    <cacheField name="Item Category" numFmtId="0">
      <sharedItems/>
    </cacheField>
    <cacheField name="Type" numFmtId="0">
      <sharedItems containsBlank="1" count="3">
        <m/>
        <s v="Frame"/>
        <s v="Sunglass"/>
      </sharedItems>
    </cacheField>
    <cacheField name="Item Desc" numFmtId="0">
      <sharedItems/>
    </cacheField>
    <cacheField name="MRP" numFmtId="0">
      <sharedItems containsSemiMixedTypes="0" containsString="0" containsNumber="1" containsInteger="1" minValue="29400" maxValue="44500"/>
    </cacheField>
    <cacheField name="Disc Amount" numFmtId="0">
      <sharedItems containsSemiMixedTypes="0" containsString="0" containsNumber="1" minValue="-8900" maxValue="0"/>
    </cacheField>
    <cacheField name="GST Benefit Discount" numFmtId="0">
      <sharedItems containsSemiMixedTypes="0" containsString="0" containsNumber="1" containsInteger="1" minValue="0" maxValue="0"/>
    </cacheField>
    <cacheField name="Taxable Amount" numFmtId="0">
      <sharedItems containsSemiMixedTypes="0" containsString="0" containsNumber="1" minValue="23737.759999999998" maxValue="36440.68"/>
    </cacheField>
    <cacheField name="Tax Rate" numFmtId="0">
      <sharedItems containsSemiMixedTypes="0" containsString="0" containsNumber="1" containsInteger="1" minValue="5" maxValue="18"/>
    </cacheField>
    <cacheField name="Tax Amount" numFmtId="0">
      <sharedItems containsSemiMixedTypes="0" containsString="0" containsNumber="1" minValue="1186.8800000000001" maxValue="6559.32"/>
    </cacheField>
    <cacheField name="Bill Amount" numFmtId="0">
      <sharedItems containsSemiMixedTypes="0" containsString="0" containsNumber="1" minValue="24924.639999999999" maxValue="43000"/>
    </cacheField>
    <cacheField name="HSNSAC" numFmtId="0">
      <sharedItems/>
    </cacheField>
    <cacheField name="Cust Code" numFmtId="0">
      <sharedItems/>
    </cacheField>
    <cacheField name="Offer Id" numFmtId="0">
      <sharedItems/>
    </cacheField>
    <cacheField name="Staff Id" numFmtId="0">
      <sharedItems/>
    </cacheField>
    <cacheField name="Lens Coating" numFmtId="0">
      <sharedItems/>
    </cacheField>
    <cacheField name="Tinting Code" numFmtId="0">
      <sharedItems/>
    </cacheField>
    <cacheField name="Item Group" numFmtId="0">
      <sharedItems/>
    </cacheField>
    <cacheField name="Entry Status" numFmtId="0">
      <sharedItems/>
    </cacheField>
    <cacheField name="GSTIN" numFmtId="0">
      <sharedItems/>
    </cacheField>
    <cacheField name="OCI" numFmtId="0">
      <sharedItems/>
    </cacheField>
    <cacheField name="Suspended Trans Id" numFmtId="0">
      <sharedItems/>
    </cacheField>
    <cacheField name="Batch Id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Gkb" refreshedDate="46253.561057175924" createdVersion="8" refreshedVersion="8" minRefreshableVersion="3" recordCount="92" xr:uid="{86542ED1-5CAC-42CF-94D4-D1114B39B9F3}">
  <cacheSource type="worksheet">
    <worksheetSource ref="A1:AI93" sheet="Raw Sale"/>
  </cacheSource>
  <cacheFields count="36">
    <cacheField name="Month" numFmtId="165">
      <sharedItems containsSemiMixedTypes="0" containsNonDate="0" containsDate="1" containsString="0" minDate="2026-02-01T00:00:00" maxDate="2026-08-02T00:00:00" count="7">
        <d v="2026-02-01T00:00:00"/>
        <d v="2026-03-01T00:00:00"/>
        <d v="2026-04-01T00:00:00"/>
        <d v="2026-05-01T00:00:00"/>
        <d v="2026-06-01T00:00:00"/>
        <d v="2026-07-01T00:00:00"/>
        <d v="2026-08-01T00:00:00"/>
      </sharedItems>
      <fieldGroup par="35"/>
    </cacheField>
    <cacheField name="Store Id" numFmtId="0">
      <sharedItems count="17">
        <s v="W038"/>
        <s v="W160"/>
        <s v="W161"/>
        <s v="W131"/>
        <s v="W122"/>
        <s v="W149"/>
        <s v="W075"/>
        <s v="W073"/>
        <s v="W035"/>
        <s v="W112"/>
        <s v="W117"/>
        <s v="W029"/>
        <s v="W144"/>
        <s v="W110"/>
        <s v="W063"/>
        <s v="W128"/>
        <s v="W127"/>
      </sharedItems>
    </cacheField>
    <cacheField name="Store Name" numFmtId="0">
      <sharedItems count="17">
        <s v="Noida - Unitech"/>
        <s v="Dehradun - Pacific Mall"/>
        <s v="Bangalore - M5 Mall"/>
        <s v="Bangalore - Brigade Orion"/>
        <s v="Pune - Phoenix MC Mall"/>
        <s v="Bangalore - Indira Nagar2"/>
        <s v="Bangalore - Kormangala"/>
        <s v="Puducherry - Mission Street"/>
        <s v="Ahmedabad - Nexus One"/>
        <s v="Ranchi - Main Road"/>
        <s v="Gurgaon - Arjun Marg"/>
        <s v="Kolkata - Hiland Park"/>
        <s v="Indore - Phoenix Citadel"/>
        <s v="Ludhiana - Sarabha Nagar"/>
        <s v="Pune - Kalyaninagar"/>
        <s v="Siliguri - City Centre"/>
        <s v="Vizag - Siripuram"/>
      </sharedItems>
    </cacheField>
    <cacheField name="Receipt Id" numFmtId="0">
      <sharedItems/>
    </cacheField>
    <cacheField name="Sales Type" numFmtId="0">
      <sharedItems containsBlank="1"/>
    </cacheField>
    <cacheField name="Trans Date" numFmtId="164">
      <sharedItems containsSemiMixedTypes="0" containsNonDate="0" containsDate="1" containsString="0" minDate="2026-02-21T00:00:00" maxDate="2026-08-19T00:00:00"/>
    </cacheField>
    <cacheField name="Qty" numFmtId="0">
      <sharedItems containsSemiMixedTypes="0" containsString="0" containsNumber="1" containsInteger="1" minValue="-1" maxValue="1"/>
    </cacheField>
    <cacheField name="Item Id" numFmtId="0">
      <sharedItems/>
    </cacheField>
    <cacheField name="Item Category" numFmtId="0">
      <sharedItems/>
    </cacheField>
    <cacheField name="Item Desc" numFmtId="0">
      <sharedItems/>
    </cacheField>
    <cacheField name="MRP" numFmtId="0">
      <sharedItems containsSemiMixedTypes="0" containsString="0" containsNumber="1" containsInteger="1" minValue="1350" maxValue="47500"/>
    </cacheField>
    <cacheField name="Disc Amount" numFmtId="0">
      <sharedItems containsSemiMixedTypes="0" containsString="0" containsNumber="1" minValue="-9750" maxValue="0"/>
    </cacheField>
    <cacheField name="GST Benefit Discount" numFmtId="0">
      <sharedItems containsSemiMixedTypes="0" containsString="0" containsNumber="1" minValue="-2098.44" maxValue="0"/>
    </cacheField>
    <cacheField name="Taxable Amount" numFmtId="0">
      <sharedItems containsSemiMixedTypes="0" containsString="0" containsNumber="1" minValue="-33050.839999999997" maxValue="42380.959999999999"/>
    </cacheField>
    <cacheField name="Tax Rate" numFmtId="0">
      <sharedItems containsSemiMixedTypes="0" containsString="0" containsNumber="1" containsInteger="1" minValue="5" maxValue="18"/>
    </cacheField>
    <cacheField name="Tax Amount" numFmtId="0">
      <sharedItems containsSemiMixedTypes="0" containsString="0" containsNumber="1" minValue="-5949.16" maxValue="6559.32"/>
    </cacheField>
    <cacheField name="Bill Amount" numFmtId="0">
      <sharedItems containsSemiMixedTypes="0" containsString="0" containsNumber="1" minValue="-39000" maxValue="44500"/>
    </cacheField>
    <cacheField name="HSNSAC" numFmtId="0">
      <sharedItems/>
    </cacheField>
    <cacheField name="Cust Code" numFmtId="0">
      <sharedItems/>
    </cacheField>
    <cacheField name="Offer Id" numFmtId="0">
      <sharedItems/>
    </cacheField>
    <cacheField name="Staff Id" numFmtId="0">
      <sharedItems/>
    </cacheField>
    <cacheField name="Lens Coating" numFmtId="0">
      <sharedItems/>
    </cacheField>
    <cacheField name="Tinting Code" numFmtId="0">
      <sharedItems/>
    </cacheField>
    <cacheField name="Item Group" numFmtId="0">
      <sharedItems/>
    </cacheField>
    <cacheField name="Entry Status" numFmtId="0">
      <sharedItems/>
    </cacheField>
    <cacheField name="GSTIN" numFmtId="0">
      <sharedItems/>
    </cacheField>
    <cacheField name="OCI" numFmtId="0">
      <sharedItems/>
    </cacheField>
    <cacheField name="Suspended Trans Id" numFmtId="0">
      <sharedItems/>
    </cacheField>
    <cacheField name="Batch Id" numFmtId="0">
      <sharedItems/>
    </cacheField>
    <cacheField name="Bill Type" numFmtId="0">
      <sharedItems count="3">
        <s v="Only Fr"/>
        <s v="Plano Sg"/>
        <s v="Rx"/>
      </sharedItems>
    </cacheField>
    <cacheField name="City" numFmtId="0">
      <sharedItems count="13">
        <s v="NOIDA"/>
        <s v="DEHRADUN"/>
        <s v="BENGALURU"/>
        <s v="PUNE "/>
        <s v="PUDUCHERRY"/>
        <s v="AHMEDABAD"/>
        <s v="RANCHI"/>
        <s v="GURUGRAM"/>
        <s v="KOLKATA  "/>
        <s v="INDORE"/>
        <s v="LUDHIANA"/>
        <s v="SILIGURI"/>
        <s v="VIZAG"/>
      </sharedItems>
    </cacheField>
    <cacheField name="BDM" numFmtId="0">
      <sharedItems count="4">
        <s v="AMANDEEP SINGH GILL"/>
        <s v="D. N.CHOWDHURY"/>
        <s v="DIGVIJAY SINGH"/>
        <s v="JOYDEEP DATTA "/>
      </sharedItems>
    </cacheField>
    <cacheField name="Disc Amount2" numFmtId="0">
      <sharedItems containsSemiMixedTypes="0" containsString="0" containsNumber="1" minValue="0" maxValue="9750"/>
    </cacheField>
    <cacheField name="Incentive Amount" numFmtId="0">
      <sharedItems containsString="0" containsBlank="1" containsNumber="1" containsInteger="1" minValue="-500" maxValue="500"/>
    </cacheField>
    <cacheField name="Days (Month)" numFmtId="0" databaseField="0">
      <fieldGroup base="0">
        <rangePr groupBy="days" startDate="2026-02-01T00:00:00" endDate="2026-08-02T00:00:00"/>
        <groupItems count="368">
          <s v="&lt;01-02-2026"/>
          <s v="01-Jan"/>
          <s v="02-Jan"/>
          <s v="03-Jan"/>
          <s v="04-Jan"/>
          <s v="05-Jan"/>
          <s v="06-Jan"/>
          <s v="07-Jan"/>
          <s v="08-Jan"/>
          <s v="09-Jan"/>
          <s v="10-Jan"/>
          <s v="11-Jan"/>
          <s v="12-Jan"/>
          <s v="13-Jan"/>
          <s v="14-Jan"/>
          <s v="15-Jan"/>
          <s v="16-Jan"/>
          <s v="17-Jan"/>
          <s v="18-Jan"/>
          <s v="19-Jan"/>
          <s v="20-Jan"/>
          <s v="21-Jan"/>
          <s v="22-Jan"/>
          <s v="23-Jan"/>
          <s v="24-Jan"/>
          <s v="25-Jan"/>
          <s v="26-Jan"/>
          <s v="27-Jan"/>
          <s v="28-Jan"/>
          <s v="29-Jan"/>
          <s v="30-Jan"/>
          <s v="31-Jan"/>
          <s v="01-Feb"/>
          <s v="02-Feb"/>
          <s v="03-Feb"/>
          <s v="04-Feb"/>
          <s v="05-Feb"/>
          <s v="06-Feb"/>
          <s v="07-Feb"/>
          <s v="08-Feb"/>
          <s v="09-Feb"/>
          <s v="10-Feb"/>
          <s v="11-Feb"/>
          <s v="12-Feb"/>
          <s v="13-Feb"/>
          <s v="14-Feb"/>
          <s v="15-Feb"/>
          <s v="16-Feb"/>
          <s v="17-Feb"/>
          <s v="18-Feb"/>
          <s v="19-Feb"/>
          <s v="20-Feb"/>
          <s v="21-Feb"/>
          <s v="22-Feb"/>
          <s v="23-Feb"/>
          <s v="24-Feb"/>
          <s v="25-Feb"/>
          <s v="26-Feb"/>
          <s v="27-Feb"/>
          <s v="28-Feb"/>
          <s v="29-Feb"/>
          <s v="01-Mar"/>
          <s v="02-Mar"/>
          <s v="03-Mar"/>
          <s v="04-Mar"/>
          <s v="05-Mar"/>
          <s v="06-Mar"/>
          <s v="07-Mar"/>
          <s v="08-Mar"/>
          <s v="09-Mar"/>
          <s v="10-Mar"/>
          <s v="11-Mar"/>
          <s v="12-Mar"/>
          <s v="13-Mar"/>
          <s v="14-Mar"/>
          <s v="15-Mar"/>
          <s v="16-Mar"/>
          <s v="17-Mar"/>
          <s v="18-Mar"/>
          <s v="19-Mar"/>
          <s v="20-Mar"/>
          <s v="21-Mar"/>
          <s v="22-Mar"/>
          <s v="23-Mar"/>
          <s v="24-Mar"/>
          <s v="25-Mar"/>
          <s v="26-Mar"/>
          <s v="27-Mar"/>
          <s v="28-Mar"/>
          <s v="29-Mar"/>
          <s v="30-Mar"/>
          <s v="31-Mar"/>
          <s v="01-Apr"/>
          <s v="02-Apr"/>
          <s v="03-Apr"/>
          <s v="04-Apr"/>
          <s v="05-Apr"/>
          <s v="06-Apr"/>
          <s v="07-Apr"/>
          <s v="08-Apr"/>
          <s v="09-Apr"/>
          <s v="10-Apr"/>
          <s v="11-Apr"/>
          <s v="12-Apr"/>
          <s v="13-Apr"/>
          <s v="14-Apr"/>
          <s v="15-Apr"/>
          <s v="16-Apr"/>
          <s v="17-Apr"/>
          <s v="18-Apr"/>
          <s v="19-Apr"/>
          <s v="20-Apr"/>
          <s v="21-Apr"/>
          <s v="22-Apr"/>
          <s v="23-Apr"/>
          <s v="24-Apr"/>
          <s v="25-Apr"/>
          <s v="26-Apr"/>
          <s v="27-Apr"/>
          <s v="28-Apr"/>
          <s v="29-Apr"/>
          <s v="30-Apr"/>
          <s v="01-May"/>
          <s v="02-May"/>
          <s v="03-May"/>
          <s v="04-May"/>
          <s v="05-May"/>
          <s v="06-May"/>
          <s v="07-May"/>
          <s v="08-May"/>
          <s v="09-May"/>
          <s v="10-May"/>
          <s v="11-May"/>
          <s v="12-May"/>
          <s v="13-May"/>
          <s v="14-May"/>
          <s v="15-May"/>
          <s v="16-May"/>
          <s v="17-May"/>
          <s v="18-May"/>
          <s v="19-May"/>
          <s v="20-May"/>
          <s v="21-May"/>
          <s v="22-May"/>
          <s v="23-May"/>
          <s v="24-May"/>
          <s v="25-May"/>
          <s v="26-May"/>
          <s v="27-May"/>
          <s v="28-May"/>
          <s v="29-May"/>
          <s v="30-May"/>
          <s v="31-May"/>
          <s v="01-Jun"/>
          <s v="02-Jun"/>
          <s v="03-Jun"/>
          <s v="04-Jun"/>
          <s v="05-Jun"/>
          <s v="06-Jun"/>
          <s v="07-Jun"/>
          <s v="08-Jun"/>
          <s v="09-Jun"/>
          <s v="10-Jun"/>
          <s v="11-Jun"/>
          <s v="12-Jun"/>
          <s v="13-Jun"/>
          <s v="14-Jun"/>
          <s v="15-Jun"/>
          <s v="16-Jun"/>
          <s v="17-Jun"/>
          <s v="18-Jun"/>
          <s v="19-Jun"/>
          <s v="20-Jun"/>
          <s v="21-Jun"/>
          <s v="22-Jun"/>
          <s v="23-Jun"/>
          <s v="24-Jun"/>
          <s v="25-Jun"/>
          <s v="26-Jun"/>
          <s v="27-Jun"/>
          <s v="28-Jun"/>
          <s v="29-Jun"/>
          <s v="30-Jun"/>
          <s v="01-Jul"/>
          <s v="02-Jul"/>
          <s v="03-Jul"/>
          <s v="04-Jul"/>
          <s v="05-Jul"/>
          <s v="06-Jul"/>
          <s v="07-Jul"/>
          <s v="08-Jul"/>
          <s v="09-Jul"/>
          <s v="10-Jul"/>
          <s v="11-Jul"/>
          <s v="12-Jul"/>
          <s v="13-Jul"/>
          <s v="14-Jul"/>
          <s v="15-Jul"/>
          <s v="16-Jul"/>
          <s v="17-Jul"/>
          <s v="18-Jul"/>
          <s v="19-Jul"/>
          <s v="20-Jul"/>
          <s v="21-Jul"/>
          <s v="22-Jul"/>
          <s v="23-Jul"/>
          <s v="24-Jul"/>
          <s v="25-Jul"/>
          <s v="26-Jul"/>
          <s v="27-Jul"/>
          <s v="28-Jul"/>
          <s v="29-Jul"/>
          <s v="30-Jul"/>
          <s v="31-Jul"/>
          <s v="01-Aug"/>
          <s v="02-Aug"/>
          <s v="03-Aug"/>
          <s v="04-Aug"/>
          <s v="05-Aug"/>
          <s v="06-Aug"/>
          <s v="07-Aug"/>
          <s v="08-Aug"/>
          <s v="09-Aug"/>
          <s v="10-Aug"/>
          <s v="11-Aug"/>
          <s v="12-Aug"/>
          <s v="13-Aug"/>
          <s v="14-Aug"/>
          <s v="15-Aug"/>
          <s v="16-Aug"/>
          <s v="17-Aug"/>
          <s v="18-Aug"/>
          <s v="19-Aug"/>
          <s v="20-Aug"/>
          <s v="21-Aug"/>
          <s v="22-Aug"/>
          <s v="23-Aug"/>
          <s v="24-Aug"/>
          <s v="25-Aug"/>
          <s v="26-Aug"/>
          <s v="27-Aug"/>
          <s v="28-Aug"/>
          <s v="29-Aug"/>
          <s v="30-Aug"/>
          <s v="31-Aug"/>
          <s v="01-Sep"/>
          <s v="02-Sep"/>
          <s v="03-Sep"/>
          <s v="04-Sep"/>
          <s v="05-Sep"/>
          <s v="06-Sep"/>
          <s v="07-Sep"/>
          <s v="08-Sep"/>
          <s v="09-Sep"/>
          <s v="10-Sep"/>
          <s v="11-Sep"/>
          <s v="12-Sep"/>
          <s v="13-Sep"/>
          <s v="14-Sep"/>
          <s v="15-Sep"/>
          <s v="16-Sep"/>
          <s v="17-Sep"/>
          <s v="18-Sep"/>
          <s v="19-Sep"/>
          <s v="20-Sep"/>
          <s v="21-Sep"/>
          <s v="22-Sep"/>
          <s v="23-Sep"/>
          <s v="24-Sep"/>
          <s v="25-Sep"/>
          <s v="26-Sep"/>
          <s v="27-Sep"/>
          <s v="28-Sep"/>
          <s v="29-Sep"/>
          <s v="30-Sep"/>
          <s v="01-Oct"/>
          <s v="02-Oct"/>
          <s v="03-Oct"/>
          <s v="04-Oct"/>
          <s v="05-Oct"/>
          <s v="06-Oct"/>
          <s v="07-Oct"/>
          <s v="08-Oct"/>
          <s v="09-Oct"/>
          <s v="10-Oct"/>
          <s v="11-Oct"/>
          <s v="12-Oct"/>
          <s v="13-Oct"/>
          <s v="14-Oct"/>
          <s v="15-Oct"/>
          <s v="16-Oct"/>
          <s v="17-Oct"/>
          <s v="18-Oct"/>
          <s v="19-Oct"/>
          <s v="20-Oct"/>
          <s v="21-Oct"/>
          <s v="22-Oct"/>
          <s v="23-Oct"/>
          <s v="24-Oct"/>
          <s v="25-Oct"/>
          <s v="26-Oct"/>
          <s v="27-Oct"/>
          <s v="28-Oct"/>
          <s v="29-Oct"/>
          <s v="30-Oct"/>
          <s v="31-Oct"/>
          <s v="01-Nov"/>
          <s v="02-Nov"/>
          <s v="03-Nov"/>
          <s v="04-Nov"/>
          <s v="05-Nov"/>
          <s v="06-Nov"/>
          <s v="07-Nov"/>
          <s v="08-Nov"/>
          <s v="09-Nov"/>
          <s v="10-Nov"/>
          <s v="11-Nov"/>
          <s v="12-Nov"/>
          <s v="13-Nov"/>
          <s v="14-Nov"/>
          <s v="15-Nov"/>
          <s v="16-Nov"/>
          <s v="17-Nov"/>
          <s v="18-Nov"/>
          <s v="19-Nov"/>
          <s v="20-Nov"/>
          <s v="21-Nov"/>
          <s v="22-Nov"/>
          <s v="23-Nov"/>
          <s v="24-Nov"/>
          <s v="25-Nov"/>
          <s v="26-Nov"/>
          <s v="27-Nov"/>
          <s v="28-Nov"/>
          <s v="29-Nov"/>
          <s v="30-Nov"/>
          <s v="01-Dec"/>
          <s v="02-Dec"/>
          <s v="03-Dec"/>
          <s v="04-Dec"/>
          <s v="05-Dec"/>
          <s v="06-Dec"/>
          <s v="07-Dec"/>
          <s v="08-Dec"/>
          <s v="09-Dec"/>
          <s v="10-Dec"/>
          <s v="11-Dec"/>
          <s v="12-Dec"/>
          <s v="13-Dec"/>
          <s v="14-Dec"/>
          <s v="15-Dec"/>
          <s v="16-Dec"/>
          <s v="17-Dec"/>
          <s v="18-Dec"/>
          <s v="19-Dec"/>
          <s v="20-Dec"/>
          <s v="21-Dec"/>
          <s v="22-Dec"/>
          <s v="23-Dec"/>
          <s v="24-Dec"/>
          <s v="25-Dec"/>
          <s v="26-Dec"/>
          <s v="27-Dec"/>
          <s v="28-Dec"/>
          <s v="29-Dec"/>
          <s v="30-Dec"/>
          <s v="31-Dec"/>
          <s v="&gt;02-08-2026"/>
        </groupItems>
      </fieldGroup>
    </cacheField>
    <cacheField name="Months (Month)" numFmtId="0" databaseField="0">
      <fieldGroup base="0">
        <rangePr groupBy="months" startDate="2026-02-01T00:00:00" endDate="2026-08-02T00:00:00"/>
        <groupItems count="14">
          <s v="&lt;01-02-2026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02-08-2026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Gkb" refreshedDate="46253.638310416667" createdVersion="8" refreshedVersion="8" minRefreshableVersion="3" recordCount="21" xr:uid="{CFC0C509-E55D-40EC-BED5-6B1CF2A9D33F}">
  <cacheSource type="worksheet">
    <worksheetSource ref="A11:B32" sheet="GRAPHICAL"/>
  </cacheSource>
  <cacheFields count="2">
    <cacheField name="Retail" numFmtId="0">
      <sharedItems count="21">
        <s v="INDIRANAGAR 2"/>
        <s v="KORAMANGALA"/>
        <s v="PUDUCHERRY "/>
        <s v="SILIGURI CITY CENTRE"/>
        <s v="M5 E City Mall"/>
        <s v="ALPHA MALL"/>
        <s v="HILAND PARK"/>
        <s v="LUDHIANA MALHAR ROAD"/>
        <s v="RANCHI"/>
        <s v="ARJUN MARG"/>
        <s v="PHOENIX MARKETCITY"/>
        <s v="VIZAG SIRIPURAM"/>
        <s v="GIP MALL NOIDA"/>
        <s v="KALYANINAGAR"/>
        <s v="BRIGADE ORION"/>
        <s v="PHOENIX CITADEL"/>
        <s v="PACIFIC MALL"/>
        <s v="LAKESHORE GATEWAY MALL"/>
        <s v="DURGAPUR,JUNCTION MALL"/>
        <s v="ACROPOLIS MALL"/>
        <s v="BHARTIYA CITY"/>
      </sharedItems>
    </cacheField>
    <cacheField name="Qty Sales" numFmtId="3">
      <sharedItems containsSemiMixedTypes="0" containsString="0" containsNumber="1" containsInteger="1" minValue="0" maxValue="1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Gkb" refreshedDate="46253.654368634256" createdVersion="8" refreshedVersion="8" minRefreshableVersion="3" recordCount="7" xr:uid="{B45DB7E1-446B-4613-8F6C-58471C8884E3}">
  <cacheSource type="worksheet">
    <worksheetSource ref="A49:C56" sheet="GRAPHICAL"/>
  </cacheSource>
  <cacheFields count="5">
    <cacheField name="Month" numFmtId="169">
      <sharedItems containsSemiMixedTypes="0" containsNonDate="0" containsDate="1" containsString="0" minDate="2026-02-01T00:00:00" maxDate="2026-08-02T00:00:00" count="7">
        <d v="2026-02-01T00:00:00"/>
        <d v="2026-03-01T00:00:00"/>
        <d v="2026-04-01T00:00:00"/>
        <d v="2026-05-01T00:00:00"/>
        <d v="2026-06-01T00:00:00"/>
        <d v="2026-07-01T00:00:00"/>
        <d v="2026-08-01T00:00:00"/>
      </sharedItems>
      <fieldGroup par="4"/>
    </cacheField>
    <cacheField name="Qty Sales" numFmtId="0">
      <sharedItems containsSemiMixedTypes="0" containsString="0" containsNumber="1" containsInteger="1" minValue="0" maxValue="15"/>
    </cacheField>
    <cacheField name="Incentive" numFmtId="3">
      <sharedItems containsSemiMixedTypes="0" containsString="0" containsNumber="1" containsInteger="1" minValue="0" maxValue="7500"/>
    </cacheField>
    <cacheField name="Days (Month)" numFmtId="0" databaseField="0">
      <fieldGroup base="0">
        <rangePr groupBy="days" startDate="2026-02-01T00:00:00" endDate="2026-08-02T00:00:00"/>
        <groupItems count="368">
          <s v="&lt;01-02-2026"/>
          <s v="01-Jan"/>
          <s v="02-Jan"/>
          <s v="03-Jan"/>
          <s v="04-Jan"/>
          <s v="05-Jan"/>
          <s v="06-Jan"/>
          <s v="07-Jan"/>
          <s v="08-Jan"/>
          <s v="09-Jan"/>
          <s v="10-Jan"/>
          <s v="11-Jan"/>
          <s v="12-Jan"/>
          <s v="13-Jan"/>
          <s v="14-Jan"/>
          <s v="15-Jan"/>
          <s v="16-Jan"/>
          <s v="17-Jan"/>
          <s v="18-Jan"/>
          <s v="19-Jan"/>
          <s v="20-Jan"/>
          <s v="21-Jan"/>
          <s v="22-Jan"/>
          <s v="23-Jan"/>
          <s v="24-Jan"/>
          <s v="25-Jan"/>
          <s v="26-Jan"/>
          <s v="27-Jan"/>
          <s v="28-Jan"/>
          <s v="29-Jan"/>
          <s v="30-Jan"/>
          <s v="31-Jan"/>
          <s v="01-Feb"/>
          <s v="02-Feb"/>
          <s v="03-Feb"/>
          <s v="04-Feb"/>
          <s v="05-Feb"/>
          <s v="06-Feb"/>
          <s v="07-Feb"/>
          <s v="08-Feb"/>
          <s v="09-Feb"/>
          <s v="10-Feb"/>
          <s v="11-Feb"/>
          <s v="12-Feb"/>
          <s v="13-Feb"/>
          <s v="14-Feb"/>
          <s v="15-Feb"/>
          <s v="16-Feb"/>
          <s v="17-Feb"/>
          <s v="18-Feb"/>
          <s v="19-Feb"/>
          <s v="20-Feb"/>
          <s v="21-Feb"/>
          <s v="22-Feb"/>
          <s v="23-Feb"/>
          <s v="24-Feb"/>
          <s v="25-Feb"/>
          <s v="26-Feb"/>
          <s v="27-Feb"/>
          <s v="28-Feb"/>
          <s v="29-Feb"/>
          <s v="01-Mar"/>
          <s v="02-Mar"/>
          <s v="03-Mar"/>
          <s v="04-Mar"/>
          <s v="05-Mar"/>
          <s v="06-Mar"/>
          <s v="07-Mar"/>
          <s v="08-Mar"/>
          <s v="09-Mar"/>
          <s v="10-Mar"/>
          <s v="11-Mar"/>
          <s v="12-Mar"/>
          <s v="13-Mar"/>
          <s v="14-Mar"/>
          <s v="15-Mar"/>
          <s v="16-Mar"/>
          <s v="17-Mar"/>
          <s v="18-Mar"/>
          <s v="19-Mar"/>
          <s v="20-Mar"/>
          <s v="21-Mar"/>
          <s v="22-Mar"/>
          <s v="23-Mar"/>
          <s v="24-Mar"/>
          <s v="25-Mar"/>
          <s v="26-Mar"/>
          <s v="27-Mar"/>
          <s v="28-Mar"/>
          <s v="29-Mar"/>
          <s v="30-Mar"/>
          <s v="31-Mar"/>
          <s v="01-Apr"/>
          <s v="02-Apr"/>
          <s v="03-Apr"/>
          <s v="04-Apr"/>
          <s v="05-Apr"/>
          <s v="06-Apr"/>
          <s v="07-Apr"/>
          <s v="08-Apr"/>
          <s v="09-Apr"/>
          <s v="10-Apr"/>
          <s v="11-Apr"/>
          <s v="12-Apr"/>
          <s v="13-Apr"/>
          <s v="14-Apr"/>
          <s v="15-Apr"/>
          <s v="16-Apr"/>
          <s v="17-Apr"/>
          <s v="18-Apr"/>
          <s v="19-Apr"/>
          <s v="20-Apr"/>
          <s v="21-Apr"/>
          <s v="22-Apr"/>
          <s v="23-Apr"/>
          <s v="24-Apr"/>
          <s v="25-Apr"/>
          <s v="26-Apr"/>
          <s v="27-Apr"/>
          <s v="28-Apr"/>
          <s v="29-Apr"/>
          <s v="30-Apr"/>
          <s v="01-May"/>
          <s v="02-May"/>
          <s v="03-May"/>
          <s v="04-May"/>
          <s v="05-May"/>
          <s v="06-May"/>
          <s v="07-May"/>
          <s v="08-May"/>
          <s v="09-May"/>
          <s v="10-May"/>
          <s v="11-May"/>
          <s v="12-May"/>
          <s v="13-May"/>
          <s v="14-May"/>
          <s v="15-May"/>
          <s v="16-May"/>
          <s v="17-May"/>
          <s v="18-May"/>
          <s v="19-May"/>
          <s v="20-May"/>
          <s v="21-May"/>
          <s v="22-May"/>
          <s v="23-May"/>
          <s v="24-May"/>
          <s v="25-May"/>
          <s v="26-May"/>
          <s v="27-May"/>
          <s v="28-May"/>
          <s v="29-May"/>
          <s v="30-May"/>
          <s v="31-May"/>
          <s v="01-Jun"/>
          <s v="02-Jun"/>
          <s v="03-Jun"/>
          <s v="04-Jun"/>
          <s v="05-Jun"/>
          <s v="06-Jun"/>
          <s v="07-Jun"/>
          <s v="08-Jun"/>
          <s v="09-Jun"/>
          <s v="10-Jun"/>
          <s v="11-Jun"/>
          <s v="12-Jun"/>
          <s v="13-Jun"/>
          <s v="14-Jun"/>
          <s v="15-Jun"/>
          <s v="16-Jun"/>
          <s v="17-Jun"/>
          <s v="18-Jun"/>
          <s v="19-Jun"/>
          <s v="20-Jun"/>
          <s v="21-Jun"/>
          <s v="22-Jun"/>
          <s v="23-Jun"/>
          <s v="24-Jun"/>
          <s v="25-Jun"/>
          <s v="26-Jun"/>
          <s v="27-Jun"/>
          <s v="28-Jun"/>
          <s v="29-Jun"/>
          <s v="30-Jun"/>
          <s v="01-Jul"/>
          <s v="02-Jul"/>
          <s v="03-Jul"/>
          <s v="04-Jul"/>
          <s v="05-Jul"/>
          <s v="06-Jul"/>
          <s v="07-Jul"/>
          <s v="08-Jul"/>
          <s v="09-Jul"/>
          <s v="10-Jul"/>
          <s v="11-Jul"/>
          <s v="12-Jul"/>
          <s v="13-Jul"/>
          <s v="14-Jul"/>
          <s v="15-Jul"/>
          <s v="16-Jul"/>
          <s v="17-Jul"/>
          <s v="18-Jul"/>
          <s v="19-Jul"/>
          <s v="20-Jul"/>
          <s v="21-Jul"/>
          <s v="22-Jul"/>
          <s v="23-Jul"/>
          <s v="24-Jul"/>
          <s v="25-Jul"/>
          <s v="26-Jul"/>
          <s v="27-Jul"/>
          <s v="28-Jul"/>
          <s v="29-Jul"/>
          <s v="30-Jul"/>
          <s v="31-Jul"/>
          <s v="01-Aug"/>
          <s v="02-Aug"/>
          <s v="03-Aug"/>
          <s v="04-Aug"/>
          <s v="05-Aug"/>
          <s v="06-Aug"/>
          <s v="07-Aug"/>
          <s v="08-Aug"/>
          <s v="09-Aug"/>
          <s v="10-Aug"/>
          <s v="11-Aug"/>
          <s v="12-Aug"/>
          <s v="13-Aug"/>
          <s v="14-Aug"/>
          <s v="15-Aug"/>
          <s v="16-Aug"/>
          <s v="17-Aug"/>
          <s v="18-Aug"/>
          <s v="19-Aug"/>
          <s v="20-Aug"/>
          <s v="21-Aug"/>
          <s v="22-Aug"/>
          <s v="23-Aug"/>
          <s v="24-Aug"/>
          <s v="25-Aug"/>
          <s v="26-Aug"/>
          <s v="27-Aug"/>
          <s v="28-Aug"/>
          <s v="29-Aug"/>
          <s v="30-Aug"/>
          <s v="31-Aug"/>
          <s v="01-Sep"/>
          <s v="02-Sep"/>
          <s v="03-Sep"/>
          <s v="04-Sep"/>
          <s v="05-Sep"/>
          <s v="06-Sep"/>
          <s v="07-Sep"/>
          <s v="08-Sep"/>
          <s v="09-Sep"/>
          <s v="10-Sep"/>
          <s v="11-Sep"/>
          <s v="12-Sep"/>
          <s v="13-Sep"/>
          <s v="14-Sep"/>
          <s v="15-Sep"/>
          <s v="16-Sep"/>
          <s v="17-Sep"/>
          <s v="18-Sep"/>
          <s v="19-Sep"/>
          <s v="20-Sep"/>
          <s v="21-Sep"/>
          <s v="22-Sep"/>
          <s v="23-Sep"/>
          <s v="24-Sep"/>
          <s v="25-Sep"/>
          <s v="26-Sep"/>
          <s v="27-Sep"/>
          <s v="28-Sep"/>
          <s v="29-Sep"/>
          <s v="30-Sep"/>
          <s v="01-Oct"/>
          <s v="02-Oct"/>
          <s v="03-Oct"/>
          <s v="04-Oct"/>
          <s v="05-Oct"/>
          <s v="06-Oct"/>
          <s v="07-Oct"/>
          <s v="08-Oct"/>
          <s v="09-Oct"/>
          <s v="10-Oct"/>
          <s v="11-Oct"/>
          <s v="12-Oct"/>
          <s v="13-Oct"/>
          <s v="14-Oct"/>
          <s v="15-Oct"/>
          <s v="16-Oct"/>
          <s v="17-Oct"/>
          <s v="18-Oct"/>
          <s v="19-Oct"/>
          <s v="20-Oct"/>
          <s v="21-Oct"/>
          <s v="22-Oct"/>
          <s v="23-Oct"/>
          <s v="24-Oct"/>
          <s v="25-Oct"/>
          <s v="26-Oct"/>
          <s v="27-Oct"/>
          <s v="28-Oct"/>
          <s v="29-Oct"/>
          <s v="30-Oct"/>
          <s v="31-Oct"/>
          <s v="01-Nov"/>
          <s v="02-Nov"/>
          <s v="03-Nov"/>
          <s v="04-Nov"/>
          <s v="05-Nov"/>
          <s v="06-Nov"/>
          <s v="07-Nov"/>
          <s v="08-Nov"/>
          <s v="09-Nov"/>
          <s v="10-Nov"/>
          <s v="11-Nov"/>
          <s v="12-Nov"/>
          <s v="13-Nov"/>
          <s v="14-Nov"/>
          <s v="15-Nov"/>
          <s v="16-Nov"/>
          <s v="17-Nov"/>
          <s v="18-Nov"/>
          <s v="19-Nov"/>
          <s v="20-Nov"/>
          <s v="21-Nov"/>
          <s v="22-Nov"/>
          <s v="23-Nov"/>
          <s v="24-Nov"/>
          <s v="25-Nov"/>
          <s v="26-Nov"/>
          <s v="27-Nov"/>
          <s v="28-Nov"/>
          <s v="29-Nov"/>
          <s v="30-Nov"/>
          <s v="01-Dec"/>
          <s v="02-Dec"/>
          <s v="03-Dec"/>
          <s v="04-Dec"/>
          <s v="05-Dec"/>
          <s v="06-Dec"/>
          <s v="07-Dec"/>
          <s v="08-Dec"/>
          <s v="09-Dec"/>
          <s v="10-Dec"/>
          <s v="11-Dec"/>
          <s v="12-Dec"/>
          <s v="13-Dec"/>
          <s v="14-Dec"/>
          <s v="15-Dec"/>
          <s v="16-Dec"/>
          <s v="17-Dec"/>
          <s v="18-Dec"/>
          <s v="19-Dec"/>
          <s v="20-Dec"/>
          <s v="21-Dec"/>
          <s v="22-Dec"/>
          <s v="23-Dec"/>
          <s v="24-Dec"/>
          <s v="25-Dec"/>
          <s v="26-Dec"/>
          <s v="27-Dec"/>
          <s v="28-Dec"/>
          <s v="29-Dec"/>
          <s v="30-Dec"/>
          <s v="31-Dec"/>
          <s v="&gt;02-08-2026"/>
        </groupItems>
      </fieldGroup>
    </cacheField>
    <cacheField name="Months (Month)" numFmtId="0" databaseField="0">
      <fieldGroup base="0">
        <rangePr groupBy="months" startDate="2026-02-01T00:00:00" endDate="2026-08-02T00:00:00"/>
        <groupItems count="14">
          <s v="&lt;01-02-2026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02-08-2026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">
  <r>
    <x v="0"/>
    <x v="0"/>
    <s v="#122562109330"/>
    <x v="0"/>
    <n v="1"/>
    <s v="MTM3BL51"/>
    <s v="Tomford SG"/>
    <x v="0"/>
    <s v="TF1021-N 01D 3P ELTON ECO"/>
    <n v="43000"/>
    <n v="0"/>
    <n v="0"/>
    <n v="36440.68"/>
    <n v="18"/>
    <n v="6559.32"/>
    <n v="43000"/>
    <s v="90041000"/>
    <s v="CS0586640"/>
    <s v=""/>
    <s v="S0157-Shirish Mukesh"/>
    <s v=""/>
    <s v=""/>
    <s v="IG100"/>
    <s v="Posted"/>
    <s v=""/>
    <s v=""/>
    <s v="W122-562-17742695298"/>
    <s v=""/>
  </r>
  <r>
    <x v="1"/>
    <x v="1"/>
    <s v="#149586105650"/>
    <x v="1"/>
    <n v="1"/>
    <s v="MTM19BR54"/>
    <s v="Tomford FR"/>
    <x v="0"/>
    <s v="TF5869-B 052 0 ECO"/>
    <n v="29400"/>
    <n v="-3782.12"/>
    <n v="0"/>
    <n v="24397.98"/>
    <n v="5"/>
    <n v="1219.9000000000001"/>
    <n v="25617.88"/>
    <s v="90049090"/>
    <s v="CS0141358"/>
    <s v=""/>
    <s v="D0069-Darshan Y G"/>
    <s v=""/>
    <s v=""/>
    <s v="IG30"/>
    <s v="Posted"/>
    <s v=""/>
    <s v="OCIW14926000412"/>
    <s v="W149-586-17741936712"/>
    <s v=""/>
  </r>
  <r>
    <x v="1"/>
    <x v="1"/>
    <s v="#149586105699"/>
    <x v="2"/>
    <n v="1"/>
    <s v="MTM33BR53"/>
    <s v="Tomford FR"/>
    <x v="1"/>
    <s v="TF6106-D-B 052 0"/>
    <n v="44500"/>
    <n v="-8900"/>
    <n v="0"/>
    <n v="33904.76"/>
    <n v="5"/>
    <n v="1695.24"/>
    <n v="35600"/>
    <s v="90031100"/>
    <s v="CS0583100"/>
    <s v="TF Modstar 20P"/>
    <s v="D0069-Darshan Y G"/>
    <s v=""/>
    <s v=""/>
    <s v="IG30"/>
    <s v="Posted"/>
    <s v=""/>
    <s v=""/>
    <s v=""/>
    <s v=""/>
  </r>
  <r>
    <x v="2"/>
    <x v="2"/>
    <s v="#075536105013"/>
    <x v="3"/>
    <n v="1"/>
    <s v="MTM14BR52"/>
    <s v="Tomford FR"/>
    <x v="1"/>
    <s v="TF5617-B 052"/>
    <n v="32000"/>
    <n v="-6400"/>
    <n v="0"/>
    <n v="24380.959999999999"/>
    <n v="5"/>
    <n v="1219.04"/>
    <n v="25600"/>
    <s v="90049090"/>
    <s v="CW075-002364"/>
    <s v=""/>
    <s v="F0008-Fathimath Naji"/>
    <s v=""/>
    <s v=""/>
    <s v="IG30"/>
    <s v="Posted"/>
    <s v=""/>
    <s v="OCIW07526000235"/>
    <s v="W075-536-17765149970"/>
    <s v=""/>
  </r>
  <r>
    <x v="3"/>
    <x v="3"/>
    <s v="#073534109595"/>
    <x v="4"/>
    <n v="1"/>
    <s v="MTM19BR54"/>
    <s v="Tomford FR"/>
    <x v="1"/>
    <s v="TF5869-B 052 0 ECO"/>
    <n v="29400"/>
    <n v="-4475.3599999999997"/>
    <n v="0"/>
    <n v="23737.759999999998"/>
    <n v="5"/>
    <n v="1186.8800000000001"/>
    <n v="24924.639999999999"/>
    <s v="90049090"/>
    <s v="CW073-005137"/>
    <s v=""/>
    <s v="G0003-G K Rajesh"/>
    <s v=""/>
    <s v=""/>
    <s v="IG30"/>
    <s v="Posted"/>
    <s v=""/>
    <s v="OCIW07326000416"/>
    <s v="W073-534-17760585573"/>
    <s v=""/>
  </r>
  <r>
    <x v="1"/>
    <x v="1"/>
    <s v="#149586105731"/>
    <x v="4"/>
    <n v="1"/>
    <s v="MTM17BR49"/>
    <s v="Tomford FR"/>
    <x v="1"/>
    <s v="TF5867-B 052 0"/>
    <n v="29400"/>
    <n v="-3528"/>
    <n v="0"/>
    <n v="24640"/>
    <n v="5"/>
    <n v="1232"/>
    <n v="25872"/>
    <s v="90031100"/>
    <s v="CS0196588"/>
    <s v=""/>
    <s v="M0113-Md Saeedali K"/>
    <s v=""/>
    <s v=""/>
    <s v="IG30"/>
    <s v="Posted"/>
    <s v=""/>
    <s v=""/>
    <s v="W149-586-17748679769"/>
    <s v=""/>
  </r>
  <r>
    <x v="1"/>
    <x v="1"/>
    <s v="#149586105746"/>
    <x v="5"/>
    <n v="1"/>
    <s v="MTM30BL54"/>
    <s v="Tomford SG"/>
    <x v="2"/>
    <s v="TF1273-D 01V 0 ECO"/>
    <n v="40100"/>
    <n v="-8020"/>
    <n v="0"/>
    <n v="27186.44"/>
    <n v="18"/>
    <n v="4893.5600000000004"/>
    <n v="32080"/>
    <s v="90041000"/>
    <s v="CW105-0016394"/>
    <s v="TF Modstar 20P"/>
    <s v="R0100-Rakesh Ghosh"/>
    <s v=""/>
    <s v=""/>
    <s v="IG100"/>
    <s v="Posted"/>
    <s v=""/>
    <s v=""/>
    <s v="W149-586-17765249802"/>
    <s v="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2">
  <r>
    <x v="0"/>
    <x v="0"/>
    <x v="0"/>
    <s v="#038524104929"/>
    <m/>
    <d v="2026-02-21T00:00:00"/>
    <n v="1"/>
    <s v="MTM27GR50"/>
    <s v="Tomford FR"/>
    <s v="TF5963-B 020 0 ECO"/>
    <n v="39500"/>
    <n v="-3160"/>
    <n v="0"/>
    <n v="34609.519999999997"/>
    <n v="5"/>
    <n v="1730.48"/>
    <n v="36340"/>
    <s v="90031100"/>
    <s v="CS0091648"/>
    <s v=""/>
    <s v="D0024-Dhirendra Kr M"/>
    <s v=""/>
    <s v=""/>
    <s v="IG30"/>
    <s v="Posted"/>
    <s v=""/>
    <s v=""/>
    <s v=""/>
    <s v=""/>
    <x v="0"/>
    <x v="0"/>
    <x v="0"/>
    <n v="3160"/>
    <n v="500"/>
  </r>
  <r>
    <x v="1"/>
    <x v="1"/>
    <x v="1"/>
    <s v="#160598102043"/>
    <m/>
    <d v="2026-03-01T00:00:00"/>
    <n v="1"/>
    <s v="MTM27GR50"/>
    <s v="Tomford FR"/>
    <s v="TF5963-B 020 0 ECO"/>
    <n v="39500"/>
    <n v="-4209"/>
    <n v="0"/>
    <n v="33610.480000000003"/>
    <n v="5"/>
    <n v="1680.52"/>
    <n v="35291"/>
    <s v="90031100"/>
    <s v="CW105-0014155"/>
    <s v=""/>
    <s v="N0042-Nitesh Singh N"/>
    <s v=""/>
    <s v=""/>
    <s v="IG30"/>
    <s v="Posted"/>
    <s v=""/>
    <s v=""/>
    <s v=""/>
    <s v=""/>
    <x v="0"/>
    <x v="1"/>
    <x v="0"/>
    <n v="4209"/>
    <n v="500"/>
  </r>
  <r>
    <x v="1"/>
    <x v="2"/>
    <x v="2"/>
    <s v="#161599101873"/>
    <m/>
    <d v="2026-03-03T00:00:00"/>
    <n v="1"/>
    <s v="MTM18BL54"/>
    <s v="Tomford FR"/>
    <s v="TF5869-B 001 0 ECO"/>
    <n v="29400"/>
    <n v="-2400"/>
    <n v="0"/>
    <n v="25714.28"/>
    <n v="5"/>
    <n v="1285.72"/>
    <n v="27000"/>
    <s v="90031100"/>
    <s v="CS0131725"/>
    <s v=""/>
    <s v="K0058-K Salim Malik"/>
    <s v=""/>
    <s v=""/>
    <s v="IG30"/>
    <s v="Posted"/>
    <s v=""/>
    <s v=""/>
    <s v=""/>
    <s v=""/>
    <x v="0"/>
    <x v="2"/>
    <x v="1"/>
    <n v="2400"/>
    <n v="500"/>
  </r>
  <r>
    <x v="1"/>
    <x v="3"/>
    <x v="3"/>
    <s v="#131570110257"/>
    <m/>
    <d v="2026-03-14T00:00:00"/>
    <n v="1"/>
    <s v="MTM34GL51"/>
    <s v="Tomford SG"/>
    <s v="TF248 52E 1/3 HENRY (BROWN) PHOTOCHROMIC"/>
    <n v="47500"/>
    <n v="-5500"/>
    <n v="0"/>
    <n v="35593.22"/>
    <n v="18"/>
    <n v="6406.78"/>
    <n v="42000"/>
    <s v="90041000"/>
    <s v="CW131-0004203"/>
    <s v=""/>
    <s v="M0075-M S Nachappa"/>
    <s v=""/>
    <s v=""/>
    <s v="IG100"/>
    <s v="Posted"/>
    <s v=""/>
    <s v=""/>
    <s v="W131-570-17730406855"/>
    <s v=""/>
    <x v="1"/>
    <x v="2"/>
    <x v="1"/>
    <n v="5500"/>
    <n v="500"/>
  </r>
  <r>
    <x v="1"/>
    <x v="2"/>
    <x v="2"/>
    <s v="#161599102018"/>
    <m/>
    <d v="2026-03-25T00:00:00"/>
    <n v="1"/>
    <s v="MTM17BR49"/>
    <s v="Tomford FR"/>
    <s v="TF5867-B 052 0"/>
    <n v="29400"/>
    <n v="0"/>
    <n v="0"/>
    <n v="28000"/>
    <n v="5"/>
    <n v="1400"/>
    <n v="29400"/>
    <s v="90049090"/>
    <s v="CS0586897"/>
    <s v="GST Discount"/>
    <s v="R0059-R Balachandran"/>
    <s v=""/>
    <s v=""/>
    <s v="IG30"/>
    <s v="Posted"/>
    <s v=""/>
    <s v="OCIW16126000200"/>
    <s v="W161-599-17743689444"/>
    <s v=""/>
    <x v="0"/>
    <x v="2"/>
    <x v="1"/>
    <n v="0"/>
    <n v="500"/>
  </r>
  <r>
    <x v="1"/>
    <x v="2"/>
    <x v="2"/>
    <s v="#161599102018"/>
    <m/>
    <d v="2026-03-25T00:00:00"/>
    <n v="1"/>
    <s v="11178"/>
    <s v="Crizal FSV"/>
    <s v="1.50 Crizal FSV Clear Easy Pro BCT"/>
    <n v="1350"/>
    <n v="0"/>
    <n v="-84.38"/>
    <n v="1205.3599999999999"/>
    <n v="5"/>
    <n v="60.26"/>
    <n v="1265.6199999999999"/>
    <s v="90049090"/>
    <s v="CS0586897"/>
    <s v=""/>
    <s v="R0059-R Balachandran"/>
    <s v="CRIZALESPR"/>
    <s v=""/>
    <s v="IG001"/>
    <s v="Posted"/>
    <s v=""/>
    <s v="OCIW16126000200"/>
    <s v="W161-599-17743689444"/>
    <s v=""/>
    <x v="2"/>
    <x v="2"/>
    <x v="1"/>
    <n v="0"/>
    <m/>
  </r>
  <r>
    <x v="1"/>
    <x v="2"/>
    <x v="2"/>
    <s v="#161599102018"/>
    <m/>
    <d v="2026-03-25T00:00:00"/>
    <n v="1"/>
    <s v="11178"/>
    <s v="Crizal FSV"/>
    <s v="1.50 Crizal FSV Clear Easy Pro BCT"/>
    <n v="1350"/>
    <n v="0"/>
    <n v="-84.38"/>
    <n v="1205.3599999999999"/>
    <n v="5"/>
    <n v="60.26"/>
    <n v="1265.6199999999999"/>
    <s v="90049090"/>
    <s v="CS0586897"/>
    <s v="GST Discount"/>
    <s v="R0059-R Balachandran"/>
    <s v="CRIZALESPR"/>
    <s v=""/>
    <s v="IG001"/>
    <s v="Posted"/>
    <s v=""/>
    <s v="OCIW16126000200"/>
    <s v="W161-599-17743689444"/>
    <s v=""/>
    <x v="2"/>
    <x v="2"/>
    <x v="1"/>
    <n v="0"/>
    <m/>
  </r>
  <r>
    <x v="2"/>
    <x v="4"/>
    <x v="4"/>
    <s v="#122562109330"/>
    <m/>
    <d v="2026-04-03T00:00:00"/>
    <n v="1"/>
    <s v="MTM3BL51"/>
    <s v="Tomford SG"/>
    <s v="TF1021-N 01D 3P ELTON ECO"/>
    <n v="43000"/>
    <n v="0"/>
    <n v="0"/>
    <n v="36440.68"/>
    <n v="18"/>
    <n v="6559.32"/>
    <n v="43000"/>
    <s v="90041000"/>
    <s v="CS0586640"/>
    <s v=""/>
    <s v="S0157-Shirish Mukesh"/>
    <s v=""/>
    <s v=""/>
    <s v="IG100"/>
    <s v="Posted"/>
    <s v=""/>
    <s v=""/>
    <s v="W122-562-17742695298"/>
    <s v=""/>
    <x v="1"/>
    <x v="3"/>
    <x v="2"/>
    <n v="0"/>
    <n v="500"/>
  </r>
  <r>
    <x v="2"/>
    <x v="5"/>
    <x v="5"/>
    <s v="#149586105650"/>
    <m/>
    <d v="2026-04-13T00:00:00"/>
    <n v="1"/>
    <s v="MTM19BR54"/>
    <s v="Tomford FR"/>
    <s v="TF5869-B 052 0 ECO"/>
    <n v="29400"/>
    <n v="-3782.12"/>
    <n v="0"/>
    <n v="24397.98"/>
    <n v="5"/>
    <n v="1219.9000000000001"/>
    <n v="25617.88"/>
    <s v="90049090"/>
    <s v="CS0141358"/>
    <s v=""/>
    <s v="D0069-Darshan Y G"/>
    <s v=""/>
    <s v=""/>
    <s v="IG30"/>
    <s v="Posted"/>
    <s v=""/>
    <s v="OCIW14926000412"/>
    <s v="W149-586-17741936712"/>
    <s v=""/>
    <x v="0"/>
    <x v="2"/>
    <x v="1"/>
    <n v="3782.12"/>
    <n v="500"/>
  </r>
  <r>
    <x v="2"/>
    <x v="5"/>
    <x v="5"/>
    <s v="#149586105650"/>
    <m/>
    <d v="2026-04-13T00:00:00"/>
    <n v="1"/>
    <s v="9510992483"/>
    <s v="Nova Sports"/>
    <s v="1.60 Nova Sports Clear S/V"/>
    <n v="6355"/>
    <n v="-766.44"/>
    <n v="-397.19"/>
    <n v="4944.17"/>
    <n v="5"/>
    <n v="247.2"/>
    <n v="5191.37"/>
    <s v="90049090"/>
    <s v="CS0141358"/>
    <s v=""/>
    <s v="D0069-Darshan Y G"/>
    <s v="SATINPUV"/>
    <s v="MIRTMC"/>
    <s v="IG95"/>
    <s v="Posted"/>
    <s v=""/>
    <s v="OCIW14926000412"/>
    <s v="W149-586-17741936712"/>
    <s v=""/>
    <x v="2"/>
    <x v="2"/>
    <x v="1"/>
    <n v="766.44"/>
    <m/>
  </r>
  <r>
    <x v="2"/>
    <x v="5"/>
    <x v="5"/>
    <s v="#149586105650"/>
    <m/>
    <d v="2026-04-13T00:00:00"/>
    <n v="1"/>
    <s v="9510992483"/>
    <s v="Nova Sports"/>
    <s v="1.60 Nova Sports Clear S/V"/>
    <n v="6355"/>
    <n v="-766.44"/>
    <n v="-397.19"/>
    <n v="4944.17"/>
    <n v="5"/>
    <n v="247.2"/>
    <n v="5191.37"/>
    <s v="90049090"/>
    <s v="CS0141358"/>
    <s v=""/>
    <s v="D0069-Darshan Y G"/>
    <s v="SATINPUV"/>
    <s v="MIRTMC"/>
    <s v="IG95"/>
    <s v="Posted"/>
    <s v=""/>
    <s v="OCIW14926000412"/>
    <s v="W149-586-17741936712"/>
    <s v=""/>
    <x v="2"/>
    <x v="2"/>
    <x v="1"/>
    <n v="766.44"/>
    <m/>
  </r>
  <r>
    <x v="2"/>
    <x v="5"/>
    <x v="5"/>
    <s v="#149586105699"/>
    <m/>
    <d v="2026-04-18T00:00:00"/>
    <n v="1"/>
    <s v="MTM33BR53"/>
    <s v="Tomford FR"/>
    <s v="TF6106-D-B 052 0"/>
    <n v="44500"/>
    <n v="-8900"/>
    <n v="0"/>
    <n v="33904.76"/>
    <n v="5"/>
    <n v="1695.24"/>
    <n v="35600"/>
    <s v="90031100"/>
    <s v="CS0583100"/>
    <s v="TF Modstar 20P"/>
    <s v="D0069-Darshan Y G"/>
    <s v=""/>
    <s v=""/>
    <s v="IG30"/>
    <s v="Posted"/>
    <s v=""/>
    <s v=""/>
    <s v=""/>
    <s v=""/>
    <x v="0"/>
    <x v="2"/>
    <x v="1"/>
    <n v="8900"/>
    <n v="500"/>
  </r>
  <r>
    <x v="2"/>
    <x v="6"/>
    <x v="6"/>
    <s v="#075536105013"/>
    <m/>
    <d v="2026-04-20T00:00:00"/>
    <n v="1"/>
    <s v="MTM14BR52"/>
    <s v="Tomford FR"/>
    <s v="TF5617-B 052"/>
    <n v="32000"/>
    <n v="-6400"/>
    <n v="0"/>
    <n v="24380.959999999999"/>
    <n v="5"/>
    <n v="1219.04"/>
    <n v="25600"/>
    <s v="90049090"/>
    <s v="CW075-002364"/>
    <s v=""/>
    <s v="F0008-Fathimath Naji"/>
    <s v=""/>
    <s v=""/>
    <s v="IG30"/>
    <s v="Posted"/>
    <s v=""/>
    <s v="OCIW07526000235"/>
    <s v="W075-536-17765149970"/>
    <s v=""/>
    <x v="0"/>
    <x v="2"/>
    <x v="1"/>
    <n v="6400"/>
    <n v="500"/>
  </r>
  <r>
    <x v="2"/>
    <x v="6"/>
    <x v="6"/>
    <s v="#075536105013"/>
    <m/>
    <d v="2026-04-20T00:00:00"/>
    <n v="1"/>
    <s v="11178"/>
    <s v="Crizal FSV"/>
    <s v="1.50 Crizal FSV Clear Easy Pro BCT"/>
    <n v="1350"/>
    <n v="0"/>
    <n v="0"/>
    <n v="1285.72"/>
    <n v="5"/>
    <n v="64.28"/>
    <n v="1350"/>
    <s v="90049090"/>
    <s v="CW075-002364"/>
    <s v="TF Modstar 20P"/>
    <s v="F0008-Fathimath Naji"/>
    <s v="CRIZALESPR"/>
    <s v=""/>
    <s v="IG001"/>
    <s v="Posted"/>
    <s v=""/>
    <s v="OCIW07526000235"/>
    <s v="W075-536-17765149970"/>
    <s v=""/>
    <x v="2"/>
    <x v="2"/>
    <x v="1"/>
    <n v="0"/>
    <m/>
  </r>
  <r>
    <x v="2"/>
    <x v="6"/>
    <x v="6"/>
    <s v="#075536105013"/>
    <m/>
    <d v="2026-04-20T00:00:00"/>
    <n v="1"/>
    <s v="11178"/>
    <s v="Crizal FSV"/>
    <s v="1.50 Crizal FSV Clear Easy Pro BCT"/>
    <n v="1350"/>
    <n v="0"/>
    <n v="0"/>
    <n v="1285.72"/>
    <n v="5"/>
    <n v="64.28"/>
    <n v="1350"/>
    <s v="90049090"/>
    <s v="CW075-002364"/>
    <s v=""/>
    <s v="F0008-Fathimath Naji"/>
    <s v="CRIZALESPR"/>
    <s v=""/>
    <s v="IG001"/>
    <s v="Posted"/>
    <s v=""/>
    <s v="OCIW07526000235"/>
    <s v="W075-536-17765149970"/>
    <s v=""/>
    <x v="2"/>
    <x v="2"/>
    <x v="1"/>
    <n v="0"/>
    <m/>
  </r>
  <r>
    <x v="2"/>
    <x v="7"/>
    <x v="7"/>
    <s v="#073534109595"/>
    <m/>
    <d v="2026-04-21T00:00:00"/>
    <n v="1"/>
    <s v="MTM19BR54"/>
    <s v="Tomford FR"/>
    <s v="TF5869-B 052 0 ECO"/>
    <n v="29400"/>
    <n v="-4475.3599999999997"/>
    <n v="0"/>
    <n v="23737.759999999998"/>
    <n v="5"/>
    <n v="1186.8800000000001"/>
    <n v="24924.639999999999"/>
    <s v="90049090"/>
    <s v="CW073-005137"/>
    <s v=""/>
    <s v="G0003-G K Rajesh"/>
    <s v=""/>
    <s v=""/>
    <s v="IG30"/>
    <s v="Posted"/>
    <s v=""/>
    <s v="OCIW07326000416"/>
    <s v="W073-534-17760585573"/>
    <s v=""/>
    <x v="0"/>
    <x v="4"/>
    <x v="1"/>
    <n v="4475.3599999999997"/>
    <n v="500"/>
  </r>
  <r>
    <x v="2"/>
    <x v="7"/>
    <x v="7"/>
    <s v="#073534109595"/>
    <m/>
    <d v="2026-04-21T00:00:00"/>
    <n v="1"/>
    <s v="9510992623"/>
    <s v="Nova Plus Pal"/>
    <s v="1.60 Nova Plus 3.0 Pal Gen S  Grey SC"/>
    <n v="11840"/>
    <n v="-1802.32"/>
    <n v="0"/>
    <n v="9559.7000000000007"/>
    <n v="5"/>
    <n v="477.98"/>
    <n v="10037.68"/>
    <s v="90049090"/>
    <s v="CW073-005137"/>
    <s v=""/>
    <s v="G0003-G K Rajesh"/>
    <s v="CRIZALRCK"/>
    <s v=""/>
    <s v="IG95"/>
    <s v="Posted"/>
    <s v=""/>
    <s v="OCIW07326000416"/>
    <s v="W073-534-17760585573"/>
    <s v=""/>
    <x v="2"/>
    <x v="4"/>
    <x v="1"/>
    <n v="1802.32"/>
    <m/>
  </r>
  <r>
    <x v="2"/>
    <x v="7"/>
    <x v="7"/>
    <s v="#073534109595"/>
    <m/>
    <d v="2026-04-21T00:00:00"/>
    <n v="1"/>
    <s v="9510992623"/>
    <s v="Nova Plus Pal"/>
    <s v="1.60 Nova Plus 3.0 Pal Gen S  Grey SC"/>
    <n v="11840"/>
    <n v="-1802.32"/>
    <n v="0"/>
    <n v="9559.7000000000007"/>
    <n v="5"/>
    <n v="477.98"/>
    <n v="10037.68"/>
    <s v="90049090"/>
    <s v="CW073-005137"/>
    <s v=""/>
    <s v="G0003-G K Rajesh"/>
    <s v="CRIZALRCK"/>
    <s v=""/>
    <s v="IG95"/>
    <s v="Posted"/>
    <s v=""/>
    <s v="OCIW07326000416"/>
    <s v="W073-534-17760585573"/>
    <s v=""/>
    <x v="2"/>
    <x v="4"/>
    <x v="1"/>
    <n v="1802.32"/>
    <m/>
  </r>
  <r>
    <x v="2"/>
    <x v="5"/>
    <x v="5"/>
    <s v="#149586105731"/>
    <m/>
    <d v="2026-04-21T00:00:00"/>
    <n v="1"/>
    <s v="MTM17BR49"/>
    <s v="Tomford FR"/>
    <s v="TF5867-B 052 0"/>
    <n v="29400"/>
    <n v="-3528"/>
    <n v="0"/>
    <n v="24640"/>
    <n v="5"/>
    <n v="1232"/>
    <n v="25872"/>
    <s v="90031100"/>
    <s v="CS0196588"/>
    <s v=""/>
    <s v="M0113-Md Saeedali K"/>
    <s v=""/>
    <s v=""/>
    <s v="IG30"/>
    <s v="Posted"/>
    <s v=""/>
    <s v=""/>
    <s v="W149-586-17748679769"/>
    <s v=""/>
    <x v="0"/>
    <x v="2"/>
    <x v="1"/>
    <n v="3528"/>
    <n v="500"/>
  </r>
  <r>
    <x v="2"/>
    <x v="5"/>
    <x v="5"/>
    <s v="#149586105746"/>
    <m/>
    <d v="2026-04-22T00:00:00"/>
    <n v="1"/>
    <s v="MTM30BL54"/>
    <s v="Tomford SG"/>
    <s v="TF1273-D 01V 0 ECO"/>
    <n v="40100"/>
    <n v="-8020"/>
    <n v="0"/>
    <n v="27186.44"/>
    <n v="18"/>
    <n v="4893.5600000000004"/>
    <n v="32080"/>
    <s v="90041000"/>
    <s v="CW105-0016394"/>
    <s v="TF Modstar 20P"/>
    <s v="R0100-Rakesh Ghosh"/>
    <s v=""/>
    <s v=""/>
    <s v="IG100"/>
    <s v="Posted"/>
    <s v=""/>
    <s v=""/>
    <s v="W149-586-17765249802"/>
    <s v=""/>
    <x v="1"/>
    <x v="2"/>
    <x v="1"/>
    <n v="8020"/>
    <n v="500"/>
  </r>
  <r>
    <x v="2"/>
    <x v="5"/>
    <x v="5"/>
    <s v="#149586105798"/>
    <m/>
    <d v="2026-04-27T00:00:00"/>
    <n v="1"/>
    <s v="MTM21BR52"/>
    <s v="Tomford FR"/>
    <s v="TF5898-B 052 0 ECO"/>
    <n v="32000"/>
    <n v="-2959.2"/>
    <n v="0"/>
    <n v="27657.9"/>
    <n v="5"/>
    <n v="1382.9"/>
    <n v="29040.799999999999"/>
    <s v="90049090"/>
    <s v="CW105-0017186"/>
    <s v=""/>
    <s v="D0069-Darshan Y G"/>
    <s v=""/>
    <s v=""/>
    <s v="IG30"/>
    <s v="Posted"/>
    <s v=""/>
    <s v="OCIW14926000413"/>
    <s v="W149-586-17742610549"/>
    <s v=""/>
    <x v="0"/>
    <x v="2"/>
    <x v="1"/>
    <n v="2959.2"/>
    <n v="500"/>
  </r>
  <r>
    <x v="2"/>
    <x v="5"/>
    <x v="5"/>
    <s v="#149586105798"/>
    <m/>
    <d v="2026-04-27T00:00:00"/>
    <n v="1"/>
    <s v="8511201"/>
    <s v="NikonPureBlueUV"/>
    <s v="1.56 NIKON AS FSV CLEAR PURE BLUE UV ECC"/>
    <n v="2450"/>
    <n v="-212.4"/>
    <n v="-153.13"/>
    <n v="1985.21"/>
    <n v="5"/>
    <n v="99.26"/>
    <n v="2084.4699999999998"/>
    <s v="90049090"/>
    <s v="CW105-0017186"/>
    <s v=""/>
    <s v="D0069-Darshan Y G"/>
    <s v="PUBLUV"/>
    <s v=""/>
    <s v="IG003"/>
    <s v="Posted"/>
    <s v=""/>
    <s v="OCIW14926000413"/>
    <s v="W149-586-17742610549"/>
    <s v=""/>
    <x v="2"/>
    <x v="2"/>
    <x v="1"/>
    <n v="212.4"/>
    <m/>
  </r>
  <r>
    <x v="2"/>
    <x v="5"/>
    <x v="5"/>
    <s v="#149586105798"/>
    <m/>
    <d v="2026-04-27T00:00:00"/>
    <n v="1"/>
    <s v="8511201"/>
    <s v="NikonPureBlueUV"/>
    <s v="1.56 NIKON AS FSV CLEAR PURE BLUE UV ECC"/>
    <n v="2450"/>
    <n v="-212.4"/>
    <n v="-153.13"/>
    <n v="1985.21"/>
    <n v="5"/>
    <n v="99.26"/>
    <n v="2084.4699999999998"/>
    <s v="90049090"/>
    <s v="CW105-0017186"/>
    <s v=""/>
    <s v="D0069-Darshan Y G"/>
    <s v="PUBLUV"/>
    <s v=""/>
    <s v="IG003"/>
    <s v="Posted"/>
    <s v=""/>
    <s v="OCIW14926000413"/>
    <s v="W149-586-17742610549"/>
    <s v=""/>
    <x v="2"/>
    <x v="2"/>
    <x v="1"/>
    <n v="212.4"/>
    <m/>
  </r>
  <r>
    <x v="2"/>
    <x v="8"/>
    <x v="8"/>
    <s v="#035523107752"/>
    <m/>
    <d v="2026-04-30T00:00:00"/>
    <n v="1"/>
    <s v="MTM17BR49"/>
    <s v="Tomford FR"/>
    <s v="TF5867-B 052 0"/>
    <n v="29400"/>
    <n v="0"/>
    <n v="0"/>
    <n v="24915.26"/>
    <n v="18"/>
    <n v="4484.74"/>
    <n v="29400"/>
    <s v="90049090"/>
    <s v="CS0079825"/>
    <s v=""/>
    <s v="S0271-Sachin Yadav"/>
    <s v=""/>
    <s v=""/>
    <s v="IG30"/>
    <s v="Posted"/>
    <s v=""/>
    <s v="OCIW03526000269"/>
    <s v="W035-523-17771228879"/>
    <s v=""/>
    <x v="0"/>
    <x v="5"/>
    <x v="2"/>
    <n v="0"/>
    <n v="500"/>
  </r>
  <r>
    <x v="2"/>
    <x v="8"/>
    <x v="8"/>
    <s v="#035523107752"/>
    <m/>
    <d v="2026-04-30T00:00:00"/>
    <n v="1"/>
    <s v="21181143"/>
    <s v="Crizal FSV"/>
    <s v="1.50 Crizal FSV Gen S  Amber Brown"/>
    <n v="4450"/>
    <n v="0"/>
    <n v="0"/>
    <n v="3771.18"/>
    <n v="18"/>
    <n v="678.82"/>
    <n v="4450"/>
    <s v="90049090"/>
    <s v="CS0079825"/>
    <s v=""/>
    <s v="S0271-Sachin Yadav"/>
    <s v="CRIZAL"/>
    <s v=""/>
    <s v="IG001"/>
    <s v="Posted"/>
    <s v=""/>
    <s v="OCIW03526000269"/>
    <s v="W035-523-17771228879"/>
    <s v=""/>
    <x v="2"/>
    <x v="5"/>
    <x v="2"/>
    <n v="0"/>
    <m/>
  </r>
  <r>
    <x v="2"/>
    <x v="8"/>
    <x v="8"/>
    <s v="#035523107752"/>
    <m/>
    <d v="2026-04-30T00:00:00"/>
    <n v="1"/>
    <s v="21181143"/>
    <s v="Crizal FSV"/>
    <s v="1.50 Crizal FSV Gen S  Amber Brown"/>
    <n v="4450"/>
    <n v="0"/>
    <n v="0"/>
    <n v="3771.18"/>
    <n v="18"/>
    <n v="678.82"/>
    <n v="4450"/>
    <s v="90049090"/>
    <s v="CS0079825"/>
    <s v=""/>
    <s v="S0271-Sachin Yadav"/>
    <s v="CRIZAL"/>
    <s v=""/>
    <s v="IG001"/>
    <s v="Posted"/>
    <s v=""/>
    <s v="OCIW03526000269"/>
    <s v="W035-523-17771228879"/>
    <s v=""/>
    <x v="2"/>
    <x v="5"/>
    <x v="2"/>
    <n v="0"/>
    <m/>
  </r>
  <r>
    <x v="3"/>
    <x v="6"/>
    <x v="6"/>
    <s v="#075536105077"/>
    <m/>
    <d v="2026-05-05T00:00:00"/>
    <n v="1"/>
    <s v="MTM23BL52"/>
    <s v="Tomford FR"/>
    <s v="TF5939-B 001 0 ECO"/>
    <n v="39500"/>
    <n v="-7900"/>
    <n v="0"/>
    <n v="30095.24"/>
    <n v="5"/>
    <n v="1504.76"/>
    <n v="31600"/>
    <s v="90049090"/>
    <s v="CS0597015"/>
    <s v="TF Modstar 20P"/>
    <s v="S0008-S Ravi Kumar"/>
    <s v=""/>
    <s v=""/>
    <s v="IG30"/>
    <s v="Posted"/>
    <s v=""/>
    <s v="OCIW07526000268"/>
    <s v="W075-536-17778175180"/>
    <s v=""/>
    <x v="0"/>
    <x v="2"/>
    <x v="1"/>
    <n v="7900"/>
    <n v="500"/>
  </r>
  <r>
    <x v="3"/>
    <x v="6"/>
    <x v="6"/>
    <s v="#075536105077"/>
    <m/>
    <d v="2026-05-05T00:00:00"/>
    <n v="1"/>
    <s v="11185"/>
    <s v="Crizal FSV"/>
    <s v="1.50 Crizal FSV TGen S Sapphire HR Grey"/>
    <n v="4450"/>
    <n v="0"/>
    <n v="0"/>
    <n v="4238.1000000000004"/>
    <n v="5"/>
    <n v="211.9"/>
    <n v="4450"/>
    <s v="90049090"/>
    <s v="CS0597015"/>
    <s v=""/>
    <s v="S0008-S Ravi Kumar"/>
    <s v="CRIZALSPHR"/>
    <s v=""/>
    <s v="IG001"/>
    <s v="Posted"/>
    <s v=""/>
    <s v="OCIW07526000268"/>
    <s v="W075-536-17778175180"/>
    <s v=""/>
    <x v="2"/>
    <x v="2"/>
    <x v="1"/>
    <n v="0"/>
    <m/>
  </r>
  <r>
    <x v="3"/>
    <x v="6"/>
    <x v="6"/>
    <s v="#075536105077"/>
    <m/>
    <d v="2026-05-05T00:00:00"/>
    <n v="1"/>
    <s v="11185"/>
    <s v="Crizal FSV"/>
    <s v="1.50 Crizal FSV TGen S Sapphire HR Grey"/>
    <n v="4450"/>
    <n v="0"/>
    <n v="0"/>
    <n v="4238.1000000000004"/>
    <n v="5"/>
    <n v="211.9"/>
    <n v="4450"/>
    <s v="90049090"/>
    <s v="CS0597015"/>
    <s v=""/>
    <s v="S0008-S Ravi Kumar"/>
    <s v="CRIZALSPHR"/>
    <s v=""/>
    <s v="IG001"/>
    <s v="Posted"/>
    <s v=""/>
    <s v="OCIW07526000268"/>
    <s v="W075-536-17778175180"/>
    <s v=""/>
    <x v="2"/>
    <x v="2"/>
    <x v="1"/>
    <n v="0"/>
    <m/>
  </r>
  <r>
    <x v="3"/>
    <x v="6"/>
    <x v="6"/>
    <s v="#075536105105"/>
    <m/>
    <d v="2026-05-12T00:00:00"/>
    <n v="1"/>
    <s v="MTM24BR52"/>
    <s v="Tomford FR"/>
    <s v="TF5939-B 052 0 ECO"/>
    <n v="39500"/>
    <n v="-7900"/>
    <n v="0"/>
    <n v="30095.24"/>
    <n v="5"/>
    <n v="1504.76"/>
    <n v="31600"/>
    <s v="90031100"/>
    <s v="CS0598966"/>
    <s v="TF Modstar 20P"/>
    <s v="S0008-S Ravi Kumar"/>
    <s v=""/>
    <s v=""/>
    <s v="IG30"/>
    <s v="Posted"/>
    <s v=""/>
    <s v=""/>
    <s v=""/>
    <s v=""/>
    <x v="0"/>
    <x v="2"/>
    <x v="1"/>
    <n v="7900"/>
    <n v="500"/>
  </r>
  <r>
    <x v="3"/>
    <x v="9"/>
    <x v="9"/>
    <s v="#112554107339"/>
    <m/>
    <d v="2026-05-14T00:00:00"/>
    <n v="1"/>
    <s v="MTM12BR56"/>
    <s v="Tomford SG"/>
    <s v="TF1175 55A 3 ASLAN"/>
    <n v="34500"/>
    <n v="-3450"/>
    <n v="0"/>
    <n v="29571.42"/>
    <n v="5"/>
    <n v="1478.58"/>
    <n v="31050"/>
    <s v="90041000"/>
    <s v="CW112-000046"/>
    <s v="SOCH"/>
    <s v="T0002-Tanmoy Roy"/>
    <s v=""/>
    <s v=""/>
    <s v="IG100"/>
    <s v="Posted"/>
    <s v=""/>
    <s v="OCIW11226000327"/>
    <s v="W112-554-17782483728"/>
    <s v=""/>
    <x v="1"/>
    <x v="6"/>
    <x v="3"/>
    <n v="3450"/>
    <n v="500"/>
  </r>
  <r>
    <x v="3"/>
    <x v="9"/>
    <x v="9"/>
    <s v="#112554107339"/>
    <m/>
    <d v="2026-05-14T00:00:00"/>
    <n v="1"/>
    <s v="2011161"/>
    <s v="EyePRO SV"/>
    <s v="1.50 EyePro Celar Rx "/>
    <n v="1650"/>
    <n v="0"/>
    <n v="0"/>
    <n v="1571.42"/>
    <n v="5"/>
    <n v="78.58"/>
    <n v="1650"/>
    <s v="90041000"/>
    <s v="CW112-000046"/>
    <s v=""/>
    <s v="T0002-Tanmoy Roy"/>
    <s v="DHMC+"/>
    <s v="TINTCHRG"/>
    <s v="IG20"/>
    <s v="Posted"/>
    <s v=""/>
    <s v="OCIW11226000327"/>
    <s v="W112-554-17782483728"/>
    <s v=""/>
    <x v="2"/>
    <x v="6"/>
    <x v="3"/>
    <n v="0"/>
    <m/>
  </r>
  <r>
    <x v="3"/>
    <x v="9"/>
    <x v="9"/>
    <s v="#112554107339"/>
    <m/>
    <d v="2026-05-14T00:00:00"/>
    <n v="1"/>
    <s v="2011161"/>
    <s v="EyePRO SV"/>
    <s v="1.50 EyePro Celar Rx "/>
    <n v="1650"/>
    <n v="0"/>
    <n v="0"/>
    <n v="1571.42"/>
    <n v="5"/>
    <n v="78.58"/>
    <n v="1650"/>
    <s v="90041000"/>
    <s v="CW112-000046"/>
    <s v=""/>
    <s v="T0002-Tanmoy Roy"/>
    <s v="DHMC+"/>
    <s v="TINTCHRG"/>
    <s v="IG20"/>
    <s v="Posted"/>
    <s v=""/>
    <s v="OCIW11226000327"/>
    <s v="W112-554-17782483728"/>
    <s v=""/>
    <x v="2"/>
    <x v="6"/>
    <x v="3"/>
    <n v="0"/>
    <m/>
  </r>
  <r>
    <x v="3"/>
    <x v="7"/>
    <x v="7"/>
    <s v="#073534109842"/>
    <m/>
    <d v="2026-05-17T00:00:00"/>
    <n v="1"/>
    <s v="MTM29GR56"/>
    <s v="Tomford FR"/>
    <s v="TF5801-F-B 001 0 (BLACK)"/>
    <n v="45000"/>
    <n v="-9000"/>
    <n v="0"/>
    <n v="34285.72"/>
    <n v="5"/>
    <n v="1714.28"/>
    <n v="36000"/>
    <s v="90049090"/>
    <s v="CS0599259"/>
    <s v="TF Modstar 20P"/>
    <s v="G0003-G K Rajesh"/>
    <s v=""/>
    <s v=""/>
    <s v="IG30"/>
    <s v="Posted"/>
    <s v=""/>
    <s v="OCIW07326000527"/>
    <s v="W073-534-17786514271"/>
    <s v=""/>
    <x v="0"/>
    <x v="4"/>
    <x v="1"/>
    <n v="9000"/>
    <n v="500"/>
  </r>
  <r>
    <x v="3"/>
    <x v="7"/>
    <x v="7"/>
    <s v="#073534109842"/>
    <m/>
    <d v="2026-05-17T00:00:00"/>
    <n v="1"/>
    <s v="111713"/>
    <s v="Crizal FSV"/>
    <s v="1.59 Crizal FSV Clear Easy Pro BCT"/>
    <n v="2050"/>
    <n v="0"/>
    <n v="0"/>
    <n v="1952.38"/>
    <n v="5"/>
    <n v="97.62"/>
    <n v="2050"/>
    <s v="90049090"/>
    <s v="CS0599259"/>
    <s v=""/>
    <s v="G0003-G K Rajesh"/>
    <s v="CRIZALESPR"/>
    <s v=""/>
    <s v="IG001"/>
    <s v="Posted"/>
    <s v=""/>
    <s v="OCIW07326000527"/>
    <s v="W073-534-17786514271"/>
    <s v=""/>
    <x v="2"/>
    <x v="4"/>
    <x v="1"/>
    <n v="0"/>
    <m/>
  </r>
  <r>
    <x v="3"/>
    <x v="7"/>
    <x v="7"/>
    <s v="#073534109842"/>
    <m/>
    <d v="2026-05-17T00:00:00"/>
    <n v="1"/>
    <s v="111713"/>
    <s v="Crizal FSV"/>
    <s v="1.59 Crizal FSV Clear Easy Pro BCT"/>
    <n v="2050"/>
    <n v="0"/>
    <n v="0"/>
    <n v="1952.38"/>
    <n v="5"/>
    <n v="97.62"/>
    <n v="2050"/>
    <s v="90049090"/>
    <s v="CS0599259"/>
    <s v=""/>
    <s v="G0003-G K Rajesh"/>
    <s v="CRIZALESPR"/>
    <s v=""/>
    <s v="IG001"/>
    <s v="Posted"/>
    <s v=""/>
    <s v="OCIW07326000527"/>
    <s v="W073-534-17786514271"/>
    <s v=""/>
    <x v="2"/>
    <x v="4"/>
    <x v="1"/>
    <n v="0"/>
    <m/>
  </r>
  <r>
    <x v="3"/>
    <x v="10"/>
    <x v="10"/>
    <s v="#117557106704"/>
    <m/>
    <d v="2026-05-20T00:00:00"/>
    <n v="1"/>
    <s v="MTM22BR54"/>
    <s v="Tomford FR"/>
    <s v="TF5938-B 057 0 ECO"/>
    <n v="32500"/>
    <n v="0"/>
    <n v="0"/>
    <n v="30952.38"/>
    <n v="5"/>
    <n v="1547.62"/>
    <n v="32500"/>
    <s v="90049090"/>
    <s v="CS0600078"/>
    <s v=""/>
    <s v="V0013-Vivek Kumar"/>
    <s v=""/>
    <s v=""/>
    <s v="IG30"/>
    <s v="Posted"/>
    <s v=""/>
    <s v="OCIW11726000370"/>
    <s v="W117-557-17789433818"/>
    <s v=""/>
    <x v="0"/>
    <x v="7"/>
    <x v="0"/>
    <n v="0"/>
    <n v="500"/>
  </r>
  <r>
    <x v="3"/>
    <x v="10"/>
    <x v="10"/>
    <s v="#117557106704"/>
    <m/>
    <d v="2026-05-20T00:00:00"/>
    <n v="1"/>
    <s v="9510821860"/>
    <s v="Blumax Nova UHD"/>
    <s v="1.56 XT Nova UHD Blumax Short"/>
    <n v="12960"/>
    <n v="-6480"/>
    <n v="0"/>
    <n v="6171.42"/>
    <n v="5"/>
    <n v="308.58"/>
    <n v="6480"/>
    <s v="90049090"/>
    <s v="CS0600078"/>
    <s v="Crizal Hapiness"/>
    <s v="V0013-Vivek Kumar"/>
    <s v="CRIZALRCK"/>
    <s v=""/>
    <s v="IG95"/>
    <s v="Posted"/>
    <s v=""/>
    <s v="OCIW11726000370"/>
    <s v="W117-557-17789433818"/>
    <s v=""/>
    <x v="2"/>
    <x v="7"/>
    <x v="0"/>
    <n v="6480"/>
    <m/>
  </r>
  <r>
    <x v="3"/>
    <x v="10"/>
    <x v="10"/>
    <s v="#117557106704"/>
    <m/>
    <d v="2026-05-20T00:00:00"/>
    <n v="1"/>
    <s v="9510821860"/>
    <s v="Blumax Nova UHD"/>
    <s v="1.56 XT Nova UHD Blumax Short"/>
    <n v="12960"/>
    <n v="-6480"/>
    <n v="0"/>
    <n v="6171.42"/>
    <n v="5"/>
    <n v="308.58"/>
    <n v="6480"/>
    <s v="90049090"/>
    <s v="CS0600078"/>
    <s v="Crizal Hapiness"/>
    <s v="V0013-Vivek Kumar"/>
    <s v="CRIZALRCK"/>
    <s v=""/>
    <s v="IG95"/>
    <s v="Posted"/>
    <s v=""/>
    <s v="OCIW11726000370"/>
    <s v="W117-557-17789433818"/>
    <s v=""/>
    <x v="2"/>
    <x v="7"/>
    <x v="0"/>
    <n v="6480"/>
    <m/>
  </r>
  <r>
    <x v="3"/>
    <x v="5"/>
    <x v="5"/>
    <s v="#149586106109"/>
    <m/>
    <d v="2026-05-26T00:00:00"/>
    <n v="1"/>
    <s v="MTM22BR54"/>
    <s v="Tomford FR"/>
    <s v="TF5938-B 057 0 ECO"/>
    <n v="32500"/>
    <n v="-2537.6"/>
    <n v="0"/>
    <n v="28535.62"/>
    <n v="5"/>
    <n v="1426.78"/>
    <n v="29962.400000000001"/>
    <s v="90049090"/>
    <s v="CW075-006274"/>
    <s v=""/>
    <s v="M0113-Md Saeedali K"/>
    <s v=""/>
    <s v=""/>
    <s v="IG30"/>
    <s v="Posted"/>
    <s v=""/>
    <s v="OCIW14926000283"/>
    <s v="W149-586-17718599505"/>
    <s v=""/>
    <x v="0"/>
    <x v="2"/>
    <x v="1"/>
    <n v="2537.6"/>
    <n v="500"/>
  </r>
  <r>
    <x v="3"/>
    <x v="5"/>
    <x v="5"/>
    <s v="#149586106109"/>
    <m/>
    <d v="2026-05-26T00:00:00"/>
    <n v="1"/>
    <s v="9510883622"/>
    <s v="Rodenstock Multigre MyLife2IND"/>
    <s v="1.67 Rodenstock Multigressiv MyLife2 CLM3 BR  IND Allround"/>
    <n v="33575"/>
    <n v="-2457.6999999999998"/>
    <n v="-2098.44"/>
    <n v="27637"/>
    <n v="5"/>
    <n v="1381.86"/>
    <n v="29018.86"/>
    <s v="90049090"/>
    <s v="CW075-006274"/>
    <s v=""/>
    <s v="M0113-Md Saeedali K"/>
    <s v="SOLTRPR"/>
    <s v=""/>
    <s v="IG95"/>
    <s v="Posted"/>
    <s v=""/>
    <s v="OCIW14926000283"/>
    <s v="W149-586-17718599505"/>
    <s v=""/>
    <x v="2"/>
    <x v="2"/>
    <x v="1"/>
    <n v="2457.6999999999998"/>
    <m/>
  </r>
  <r>
    <x v="3"/>
    <x v="5"/>
    <x v="5"/>
    <s v="#149586106109"/>
    <m/>
    <d v="2026-05-26T00:00:00"/>
    <n v="1"/>
    <s v="9510883622"/>
    <s v="Rodenstock Multigre MyLife2IND"/>
    <s v="1.67 Rodenstock Multigressiv MyLife2 CLM3 BR  IND Allround"/>
    <n v="33575"/>
    <n v="-2457.6999999999998"/>
    <n v="-2098.44"/>
    <n v="27637"/>
    <n v="5"/>
    <n v="1381.86"/>
    <n v="29018.86"/>
    <s v="90049090"/>
    <s v="CW075-006274"/>
    <s v=""/>
    <s v="M0113-Md Saeedali K"/>
    <s v="SOLTRPR"/>
    <s v=""/>
    <s v="IG95"/>
    <s v="Posted"/>
    <s v=""/>
    <s v="OCIW14926000283"/>
    <s v="W149-586-17718599505"/>
    <s v=""/>
    <x v="2"/>
    <x v="2"/>
    <x v="1"/>
    <n v="2457.6999999999998"/>
    <m/>
  </r>
  <r>
    <x v="4"/>
    <x v="5"/>
    <x v="5"/>
    <s v="#149586106194"/>
    <m/>
    <d v="2026-06-01T00:00:00"/>
    <n v="1"/>
    <s v="MTM13BR53"/>
    <s v="Tomford SG"/>
    <s v="TF1213 52E 2 GRAYDON"/>
    <n v="38500"/>
    <n v="-7700"/>
    <n v="0"/>
    <n v="26101.7"/>
    <n v="18"/>
    <n v="4698.3"/>
    <n v="30800"/>
    <s v="90041000"/>
    <s v="CS0180971"/>
    <s v="TF Modstar 20P"/>
    <s v="R0100-Rakesh Ghosh"/>
    <s v=""/>
    <s v=""/>
    <s v="IG100"/>
    <s v="Posted"/>
    <s v=""/>
    <s v=""/>
    <s v="W149-586-17798066339"/>
    <s v=""/>
    <x v="1"/>
    <x v="2"/>
    <x v="1"/>
    <n v="7700"/>
    <n v="500"/>
  </r>
  <r>
    <x v="4"/>
    <x v="1"/>
    <x v="1"/>
    <s v="#160598102492"/>
    <m/>
    <d v="2026-06-05T00:00:00"/>
    <n v="1"/>
    <s v="MTM8BR55"/>
    <s v="Tomford SG"/>
    <s v="TF1108 48Z 3 ELSA ECO"/>
    <n v="34500"/>
    <n v="0"/>
    <n v="0"/>
    <n v="29237.279999999999"/>
    <n v="18"/>
    <n v="5262.72"/>
    <n v="34500"/>
    <s v="90041000"/>
    <s v="CS0605175"/>
    <s v=""/>
    <s v="Y0006-Yogesh Naudiya"/>
    <s v=""/>
    <s v=""/>
    <s v="IG100"/>
    <s v="Posted"/>
    <s v=""/>
    <s v=""/>
    <s v=""/>
    <s v=""/>
    <x v="1"/>
    <x v="1"/>
    <x v="0"/>
    <n v="0"/>
    <n v="500"/>
  </r>
  <r>
    <x v="4"/>
    <x v="1"/>
    <x v="1"/>
    <s v="#160598102493"/>
    <m/>
    <d v="2026-06-05T00:00:00"/>
    <n v="1"/>
    <s v="MTM9BR55"/>
    <s v="Tomford SG"/>
    <s v="TF1108 52E 1/3 PHOTOCROMIC ELSA ECO"/>
    <n v="39000"/>
    <n v="0"/>
    <n v="0"/>
    <n v="33050.839999999997"/>
    <n v="18"/>
    <n v="5949.16"/>
    <n v="39000"/>
    <s v="90041000"/>
    <s v="CS0605176"/>
    <s v=""/>
    <s v="Y0006-Yogesh Naudiya"/>
    <s v=""/>
    <s v=""/>
    <s v="IG100"/>
    <s v="Posted"/>
    <s v=""/>
    <s v=""/>
    <s v=""/>
    <s v=""/>
    <x v="1"/>
    <x v="1"/>
    <x v="0"/>
    <n v="0"/>
    <n v="500"/>
  </r>
  <r>
    <x v="4"/>
    <x v="5"/>
    <x v="5"/>
    <s v="#149586106238"/>
    <m/>
    <d v="2026-06-06T00:00:00"/>
    <n v="1"/>
    <s v="MTM6BR54"/>
    <s v="Tomford SG"/>
    <s v="TF1076 56B 2 KENDEL"/>
    <n v="32500"/>
    <n v="-6500"/>
    <n v="0"/>
    <n v="22033.9"/>
    <n v="18"/>
    <n v="3966.1"/>
    <n v="26000"/>
    <s v="90041000"/>
    <s v="CS0605463"/>
    <s v="TF Modstar 20P"/>
    <s v="R0100-Rakesh Ghosh"/>
    <s v=""/>
    <s v=""/>
    <s v="IG100"/>
    <s v="Posted"/>
    <s v=""/>
    <s v=""/>
    <s v=""/>
    <s v=""/>
    <x v="1"/>
    <x v="2"/>
    <x v="1"/>
    <n v="6500"/>
    <n v="500"/>
  </r>
  <r>
    <x v="4"/>
    <x v="4"/>
    <x v="4"/>
    <s v="#122562109968"/>
    <m/>
    <d v="2026-06-07T00:00:00"/>
    <n v="1"/>
    <s v="MTM5BR54"/>
    <s v="Tomford SG"/>
    <s v="TF1076 55L 3 KENDEL"/>
    <n v="32500"/>
    <n v="0"/>
    <n v="0"/>
    <n v="27542.38"/>
    <n v="18"/>
    <n v="4957.62"/>
    <n v="32500"/>
    <s v="90041000"/>
    <s v="CS0521680"/>
    <s v=""/>
    <s v="A0082-A R A Rashid P"/>
    <s v=""/>
    <s v=""/>
    <s v="IG100"/>
    <s v="Posted"/>
    <s v=""/>
    <s v=""/>
    <s v=""/>
    <s v=""/>
    <x v="1"/>
    <x v="3"/>
    <x v="2"/>
    <n v="0"/>
    <n v="500"/>
  </r>
  <r>
    <x v="4"/>
    <x v="11"/>
    <x v="11"/>
    <s v="#029519106762"/>
    <m/>
    <d v="2026-06-09T00:00:00"/>
    <n v="1"/>
    <s v="MTM22BR54"/>
    <s v="Tomford FR"/>
    <s v="TF5938-B 057 0 ECO"/>
    <n v="32500"/>
    <n v="-792.68"/>
    <n v="0"/>
    <n v="30197.439999999999"/>
    <n v="5"/>
    <n v="1509.88"/>
    <n v="31707.32"/>
    <s v="90049090"/>
    <s v="CS0592755"/>
    <s v=""/>
    <s v="R0076-Rumanah Khan"/>
    <s v=""/>
    <s v=""/>
    <s v="IG30"/>
    <s v="Posted"/>
    <s v=""/>
    <s v="OCIW02926000357"/>
    <s v="W029-519-17764315806"/>
    <s v=""/>
    <x v="0"/>
    <x v="8"/>
    <x v="3"/>
    <n v="792.68"/>
    <n v="500"/>
  </r>
  <r>
    <x v="4"/>
    <x v="11"/>
    <x v="11"/>
    <s v="#029519106762"/>
    <m/>
    <d v="2026-06-09T00:00:00"/>
    <n v="1"/>
    <s v="8625017"/>
    <s v="Nikon Presio WZ"/>
    <s v="1.60 NIKON PRESIO W Z  MR8  CLEAR PURE BLUE UV ECC"/>
    <n v="18600"/>
    <n v="-453.66"/>
    <n v="0"/>
    <n v="17282.22"/>
    <n v="5"/>
    <n v="864.12"/>
    <n v="18146.34"/>
    <s v="90049090"/>
    <s v="CS0592755"/>
    <s v=""/>
    <s v="R0076-Rumanah Khan"/>
    <s v="PUBLUVECC"/>
    <s v=""/>
    <s v="IG004"/>
    <s v="Posted"/>
    <s v=""/>
    <s v="OCIW02926000357"/>
    <s v="W029-519-17764315806"/>
    <s v=""/>
    <x v="2"/>
    <x v="8"/>
    <x v="3"/>
    <n v="453.66"/>
    <m/>
  </r>
  <r>
    <x v="4"/>
    <x v="11"/>
    <x v="11"/>
    <s v="#029519106762"/>
    <m/>
    <d v="2026-06-09T00:00:00"/>
    <n v="1"/>
    <s v="8625017"/>
    <s v="Nikon Presio WZ"/>
    <s v="1.60 NIKON PRESIO W Z  MR8  CLEAR PURE BLUE UV ECC"/>
    <n v="18600"/>
    <n v="-453.66"/>
    <n v="0"/>
    <n v="17282.22"/>
    <n v="5"/>
    <n v="864.12"/>
    <n v="18146.34"/>
    <s v="90049090"/>
    <s v="CS0592755"/>
    <s v=""/>
    <s v="R0076-Rumanah Khan"/>
    <s v="PUBLUVECC"/>
    <s v=""/>
    <s v="IG004"/>
    <s v="Posted"/>
    <s v=""/>
    <s v="OCIW02926000357"/>
    <s v="W029-519-17764315806"/>
    <s v=""/>
    <x v="2"/>
    <x v="8"/>
    <x v="3"/>
    <n v="453.66"/>
    <m/>
  </r>
  <r>
    <x v="4"/>
    <x v="11"/>
    <x v="11"/>
    <s v="#029519106760"/>
    <m/>
    <d v="2026-06-09T00:00:00"/>
    <n v="1"/>
    <s v="MTM32BL53"/>
    <s v="Tomford FR"/>
    <s v="TF6106-D-B 001 0"/>
    <n v="44500"/>
    <n v="-8900"/>
    <n v="0"/>
    <n v="33904.76"/>
    <n v="5"/>
    <n v="1695.24"/>
    <n v="35600"/>
    <s v="90031100"/>
    <s v="CW029-0005775"/>
    <s v="TF Modstar 20P"/>
    <s v="R0076-Rumanah Khan"/>
    <s v=""/>
    <s v=""/>
    <s v="IG30"/>
    <s v="Posted"/>
    <s v=""/>
    <s v=""/>
    <s v="W029-519-17807385187"/>
    <s v=""/>
    <x v="0"/>
    <x v="8"/>
    <x v="3"/>
    <n v="8900"/>
    <n v="500"/>
  </r>
  <r>
    <x v="4"/>
    <x v="5"/>
    <x v="5"/>
    <s v="#149586106274"/>
    <m/>
    <d v="2026-06-10T00:00:00"/>
    <n v="1"/>
    <s v="MTM16GR49"/>
    <s v="Tomford FR"/>
    <s v="TF5867-B 020 0"/>
    <n v="29400"/>
    <n v="-3019.08"/>
    <n v="0"/>
    <n v="25124.68"/>
    <n v="5"/>
    <n v="1256.24"/>
    <n v="26380.92"/>
    <s v="90049090"/>
    <s v="CS0605360"/>
    <s v=""/>
    <s v="B0036-B M Kartheek"/>
    <s v=""/>
    <s v=""/>
    <s v="IG30"/>
    <s v="Posted"/>
    <s v=""/>
    <s v="OCIW14926000795"/>
    <s v="W149-586-17807461271"/>
    <s v=""/>
    <x v="0"/>
    <x v="2"/>
    <x v="1"/>
    <n v="3019.08"/>
    <n v="500"/>
  </r>
  <r>
    <x v="4"/>
    <x v="5"/>
    <x v="5"/>
    <s v="#149586106274"/>
    <m/>
    <d v="2026-06-10T00:00:00"/>
    <n v="1"/>
    <s v="8511203"/>
    <s v="NikonPureBlueUV"/>
    <s v="1.67 NIKON AS FSV CLEAR PURE BLUE UV SCN"/>
    <n v="5750"/>
    <n v="-590.46"/>
    <n v="0"/>
    <n v="4913.84"/>
    <n v="5"/>
    <n v="245.7"/>
    <n v="5159.54"/>
    <s v="90049090"/>
    <s v="CS0605360"/>
    <s v=""/>
    <s v="B0036-B M Kartheek"/>
    <s v="PUBLUV"/>
    <s v=""/>
    <s v="IG003"/>
    <s v="Posted"/>
    <s v=""/>
    <s v="OCIW14926000795"/>
    <s v="W149-586-17807461271"/>
    <s v=""/>
    <x v="2"/>
    <x v="2"/>
    <x v="1"/>
    <n v="590.46"/>
    <m/>
  </r>
  <r>
    <x v="4"/>
    <x v="5"/>
    <x v="5"/>
    <s v="#149586106274"/>
    <m/>
    <d v="2026-06-10T00:00:00"/>
    <n v="1"/>
    <s v="8511203"/>
    <s v="NikonPureBlueUV"/>
    <s v="1.67 NIKON AS FSV CLEAR PURE BLUE UV SCN"/>
    <n v="5750"/>
    <n v="-590.46"/>
    <n v="0"/>
    <n v="4913.84"/>
    <n v="5"/>
    <n v="245.7"/>
    <n v="5159.54"/>
    <s v="90049090"/>
    <s v="CS0605360"/>
    <s v=""/>
    <s v="B0036-B M Kartheek"/>
    <s v="PUBLUV"/>
    <s v=""/>
    <s v="IG003"/>
    <s v="Posted"/>
    <s v=""/>
    <s v="OCIW14926000795"/>
    <s v="W149-586-17807461271"/>
    <s v=""/>
    <x v="2"/>
    <x v="2"/>
    <x v="1"/>
    <n v="590.46"/>
    <m/>
  </r>
  <r>
    <x v="4"/>
    <x v="8"/>
    <x v="8"/>
    <s v="#035523108115"/>
    <s v=""/>
    <d v="2026-06-12T00:00:00"/>
    <n v="1"/>
    <s v="MTM32BL53"/>
    <s v="Tomford FR"/>
    <s v="TF6106-D-B 001 0"/>
    <n v="44500"/>
    <n v="-1875"/>
    <n v="0"/>
    <n v="40595.24"/>
    <n v="5"/>
    <n v="2029.76"/>
    <n v="42625"/>
    <s v="90049090"/>
    <s v="CS0605632"/>
    <s v="Seeing Positivity"/>
    <s v="H0015-Hiren Kiritbha"/>
    <s v=""/>
    <s v=""/>
    <s v="IG30"/>
    <s v="Posted"/>
    <s v=""/>
    <s v="OCIW03526000364"/>
    <s v="W035-523-17808249575"/>
    <s v=""/>
    <x v="0"/>
    <x v="5"/>
    <x v="2"/>
    <n v="1875"/>
    <n v="500"/>
  </r>
  <r>
    <x v="4"/>
    <x v="8"/>
    <x v="8"/>
    <s v="#035523108115"/>
    <s v=""/>
    <d v="2026-06-12T00:00:00"/>
    <n v="1"/>
    <s v="8511202"/>
    <s v="NikonPureBlueUV"/>
    <s v="1.60 NIKON AS FSV  MR8  CLEAR PURE BLUE UV ECC"/>
    <n v="3250"/>
    <n v="0"/>
    <n v="0"/>
    <n v="3095.24"/>
    <n v="5"/>
    <n v="154.76"/>
    <n v="3250"/>
    <s v="90049090"/>
    <s v="CS0605632"/>
    <s v="Seeing Positivity"/>
    <s v="H0015-Hiren Kiritbha"/>
    <s v="PUBLUV"/>
    <s v=""/>
    <s v="IG003"/>
    <s v="Posted"/>
    <s v=""/>
    <s v="OCIW03526000364"/>
    <s v="W035-523-17808249575"/>
    <s v=""/>
    <x v="2"/>
    <x v="5"/>
    <x v="2"/>
    <n v="0"/>
    <m/>
  </r>
  <r>
    <x v="4"/>
    <x v="8"/>
    <x v="8"/>
    <s v="#035523108115"/>
    <s v=""/>
    <d v="2026-06-12T00:00:00"/>
    <n v="1"/>
    <s v="8511202"/>
    <s v="NikonPureBlueUV"/>
    <s v="1.60 NIKON AS FSV  MR8  CLEAR PURE BLUE UV ECC"/>
    <n v="3250"/>
    <n v="0"/>
    <n v="0"/>
    <n v="3095.24"/>
    <n v="5"/>
    <n v="154.76"/>
    <n v="3250"/>
    <s v="90049090"/>
    <s v="CS0605632"/>
    <s v=""/>
    <s v="H0015-Hiren Kiritbha"/>
    <s v="PUBLUV"/>
    <s v=""/>
    <s v="IG003"/>
    <s v="Posted"/>
    <s v=""/>
    <s v="OCIW03526000364"/>
    <s v="W035-523-17808249575"/>
    <s v=""/>
    <x v="2"/>
    <x v="5"/>
    <x v="2"/>
    <n v="0"/>
    <m/>
  </r>
  <r>
    <x v="4"/>
    <x v="12"/>
    <x v="12"/>
    <s v="#144579102826"/>
    <s v=""/>
    <d v="2026-06-12T00:00:00"/>
    <n v="1"/>
    <s v="MTM28BR50"/>
    <s v="Tomford FR"/>
    <s v="TF5963-B 045 0 ECO"/>
    <n v="39500"/>
    <n v="0"/>
    <n v="0"/>
    <n v="37619.040000000001"/>
    <n v="5"/>
    <n v="1880.96"/>
    <n v="39500"/>
    <s v="90031100"/>
    <s v="CW103-009917"/>
    <s v=""/>
    <s v="S0273-Shokindra Kuma"/>
    <s v=""/>
    <s v=""/>
    <s v="IG30"/>
    <s v="Posted"/>
    <s v=""/>
    <s v=""/>
    <s v=""/>
    <s v=""/>
    <x v="0"/>
    <x v="9"/>
    <x v="2"/>
    <n v="0"/>
    <n v="500"/>
  </r>
  <r>
    <x v="4"/>
    <x v="7"/>
    <x v="7"/>
    <s v="#073534110107"/>
    <s v=""/>
    <d v="2026-06-19T00:00:00"/>
    <n v="1"/>
    <s v="MTM27GR50"/>
    <s v="Tomford FR"/>
    <s v="TF5963-B 020 0 ECO"/>
    <n v="39500"/>
    <n v="-7900"/>
    <n v="0"/>
    <n v="30095.24"/>
    <n v="5"/>
    <n v="1504.76"/>
    <n v="31600"/>
    <s v="90031100"/>
    <s v="CS0609428"/>
    <s v="TF Modstar 20P"/>
    <s v="A0148-A R Abdul Sath"/>
    <s v=""/>
    <s v=""/>
    <s v="IG30"/>
    <s v="Posted"/>
    <s v=""/>
    <s v=""/>
    <s v=""/>
    <s v=""/>
    <x v="0"/>
    <x v="4"/>
    <x v="1"/>
    <n v="7900"/>
    <n v="500"/>
  </r>
  <r>
    <x v="4"/>
    <x v="13"/>
    <x v="13"/>
    <s v="#110552105087"/>
    <s v=""/>
    <d v="2026-06-23T00:00:00"/>
    <n v="1"/>
    <s v="MTM32BL53"/>
    <s v="Tomford FR"/>
    <s v="TF6106-D-B 001 0"/>
    <n v="44500"/>
    <n v="-4450"/>
    <n v="0"/>
    <n v="38142.86"/>
    <n v="5"/>
    <n v="1907.14"/>
    <n v="40050"/>
    <s v="90049090"/>
    <s v="CS0610083"/>
    <s v=""/>
    <s v="V0029-Vicky Kumar"/>
    <s v=""/>
    <s v=""/>
    <s v="IG30"/>
    <s v="Posted"/>
    <s v=""/>
    <s v="OCIW11026000481"/>
    <s v="W110-552-17820290763"/>
    <s v=""/>
    <x v="0"/>
    <x v="10"/>
    <x v="0"/>
    <n v="4450"/>
    <n v="500"/>
  </r>
  <r>
    <x v="4"/>
    <x v="13"/>
    <x v="13"/>
    <s v="#110552105087"/>
    <s v=""/>
    <d v="2026-06-23T00:00:00"/>
    <n v="1"/>
    <s v="95108836328"/>
    <s v="Nova  Trendfree"/>
    <s v="1.56 Nova Trendfree 2.0 Sunlite Blumax Grey Short"/>
    <n v="5145"/>
    <n v="0"/>
    <n v="0"/>
    <n v="4900"/>
    <n v="5"/>
    <n v="245"/>
    <n v="5145"/>
    <s v="90049090"/>
    <s v="CS0610083"/>
    <s v=""/>
    <s v="V0029-Vicky Kumar"/>
    <s v="SATINPUV"/>
    <s v=""/>
    <s v="IG95"/>
    <s v="Posted"/>
    <s v=""/>
    <s v="OCIW11026000481"/>
    <s v="W110-552-17820290763"/>
    <s v=""/>
    <x v="2"/>
    <x v="10"/>
    <x v="0"/>
    <n v="0"/>
    <m/>
  </r>
  <r>
    <x v="4"/>
    <x v="13"/>
    <x v="13"/>
    <s v="#110552105087"/>
    <s v=""/>
    <d v="2026-06-23T00:00:00"/>
    <n v="1"/>
    <s v="95108836328"/>
    <s v="Nova  Trendfree"/>
    <s v="1.56 Nova Trendfree 2.0 Sunlite Blumax Grey Short"/>
    <n v="5145"/>
    <n v="0"/>
    <n v="0"/>
    <n v="4900"/>
    <n v="5"/>
    <n v="245"/>
    <n v="5145"/>
    <s v="90049090"/>
    <s v="CS0610083"/>
    <s v="TF Modstar 10P"/>
    <s v="V0029-Vicky Kumar"/>
    <s v="SATINPUV"/>
    <s v=""/>
    <s v="IG95"/>
    <s v="Posted"/>
    <s v=""/>
    <s v="OCIW11026000481"/>
    <s v="W110-552-17820290763"/>
    <s v=""/>
    <x v="2"/>
    <x v="10"/>
    <x v="0"/>
    <n v="0"/>
    <m/>
  </r>
  <r>
    <x v="4"/>
    <x v="4"/>
    <x v="4"/>
    <s v="#122562110098"/>
    <s v=""/>
    <d v="2026-06-23T00:00:00"/>
    <n v="1"/>
    <s v="MTM13BR53"/>
    <s v="Tomford SG"/>
    <s v="TF1213 52E 2 GRAYDON"/>
    <n v="38500"/>
    <n v="-3850"/>
    <n v="0"/>
    <n v="29364.400000000001"/>
    <n v="18"/>
    <n v="5285.6"/>
    <n v="34650"/>
    <s v="90041000"/>
    <s v="CS0560281"/>
    <s v=""/>
    <s v="S0157-Shirish Mukesh"/>
    <s v=""/>
    <s v=""/>
    <s v="IG100"/>
    <s v="Posted"/>
    <s v=""/>
    <s v=""/>
    <s v=""/>
    <s v=""/>
    <x v="1"/>
    <x v="3"/>
    <x v="2"/>
    <n v="3850"/>
    <n v="500"/>
  </r>
  <r>
    <x v="4"/>
    <x v="2"/>
    <x v="2"/>
    <s v="#161599102659"/>
    <s v=""/>
    <d v="2026-06-30T00:00:00"/>
    <n v="1"/>
    <s v="MTM33BR53"/>
    <s v="Tomford FR"/>
    <s v="TF6106-D-B 052 0"/>
    <n v="44500"/>
    <n v="0"/>
    <n v="0"/>
    <n v="42380.959999999999"/>
    <n v="5"/>
    <n v="2119.04"/>
    <n v="44500"/>
    <s v="90049090"/>
    <s v="CS0612355"/>
    <s v=""/>
    <s v="K0058-K Salim Malik"/>
    <s v=""/>
    <s v=""/>
    <s v="IG30"/>
    <s v="Posted"/>
    <s v=""/>
    <s v="OCIW16126000389"/>
    <s v="W161-599-17826603267"/>
    <s v=""/>
    <x v="0"/>
    <x v="2"/>
    <x v="1"/>
    <n v="0"/>
    <n v="500"/>
  </r>
  <r>
    <x v="4"/>
    <x v="2"/>
    <x v="2"/>
    <s v="#161599102659"/>
    <s v=""/>
    <d v="2026-06-30T00:00:00"/>
    <n v="1"/>
    <s v="2128360"/>
    <s v="Essilor ComfortMax"/>
    <s v="1.50 Varilux Comfort Max Gen S Rock Grey"/>
    <n v="12700"/>
    <n v="0"/>
    <n v="0"/>
    <n v="12095.24"/>
    <n v="5"/>
    <n v="604.76"/>
    <n v="12700"/>
    <s v="90049090"/>
    <s v="CS0612355"/>
    <s v=""/>
    <s v="K0058-K Salim Malik"/>
    <s v="CRIZALRCK"/>
    <s v=""/>
    <s v="IG002"/>
    <s v="Posted"/>
    <s v=""/>
    <s v="OCIW16126000389"/>
    <s v="W161-599-17826603267"/>
    <s v=""/>
    <x v="2"/>
    <x v="2"/>
    <x v="1"/>
    <n v="0"/>
    <m/>
  </r>
  <r>
    <x v="4"/>
    <x v="2"/>
    <x v="2"/>
    <s v="#161599102659"/>
    <s v=""/>
    <d v="2026-06-30T00:00:00"/>
    <n v="1"/>
    <s v="2128360"/>
    <s v="Essilor ComfortMax"/>
    <s v="1.50 Varilux Comfort Max Gen S Rock Grey"/>
    <n v="12700"/>
    <n v="0"/>
    <n v="0"/>
    <n v="12095.24"/>
    <n v="5"/>
    <n v="604.76"/>
    <n v="12700"/>
    <s v="90049090"/>
    <s v="CS0612355"/>
    <s v=""/>
    <s v="K0058-K Salim Malik"/>
    <s v="CRIZALRCK"/>
    <s v=""/>
    <s v="IG002"/>
    <s v="Posted"/>
    <s v=""/>
    <s v="OCIW16126000389"/>
    <s v="W161-599-17826603267"/>
    <s v=""/>
    <x v="2"/>
    <x v="2"/>
    <x v="1"/>
    <n v="0"/>
    <m/>
  </r>
  <r>
    <x v="4"/>
    <x v="6"/>
    <x v="6"/>
    <s v="#075536105343"/>
    <s v=""/>
    <d v="2026-06-30T00:00:00"/>
    <n v="1"/>
    <s v="MTM21BR52"/>
    <s v="Tomford FR"/>
    <s v="TF5898-B 052 0 ECO"/>
    <n v="32000"/>
    <n v="0"/>
    <n v="0"/>
    <n v="30476.2"/>
    <n v="5"/>
    <n v="1523.8"/>
    <n v="32000"/>
    <s v="90031100"/>
    <s v="CS0585844"/>
    <s v=""/>
    <s v="S0008-S Ravi Kumar"/>
    <s v=""/>
    <s v=""/>
    <s v="IG30"/>
    <s v="Posted"/>
    <s v=""/>
    <s v=""/>
    <s v=""/>
    <s v=""/>
    <x v="0"/>
    <x v="2"/>
    <x v="1"/>
    <n v="0"/>
    <n v="500"/>
  </r>
  <r>
    <x v="5"/>
    <x v="14"/>
    <x v="14"/>
    <s v="#063532107439"/>
    <s v=""/>
    <d v="2026-07-03T00:00:00"/>
    <n v="1"/>
    <s v="MTM14BR52"/>
    <s v="Tomford FR"/>
    <s v="TF5617-B 052"/>
    <n v="32000"/>
    <n v="-4800"/>
    <n v="0"/>
    <n v="25904.76"/>
    <n v="5"/>
    <n v="1295.24"/>
    <n v="27200"/>
    <s v="90031100"/>
    <s v="CS0613216"/>
    <s v=""/>
    <s v="S0173-Shankar  Suryk"/>
    <s v=""/>
    <s v=""/>
    <s v="IG30"/>
    <s v="Posted"/>
    <s v=""/>
    <s v=""/>
    <s v=""/>
    <s v=""/>
    <x v="0"/>
    <x v="3"/>
    <x v="2"/>
    <n v="4800"/>
    <n v="500"/>
  </r>
  <r>
    <x v="5"/>
    <x v="5"/>
    <x v="5"/>
    <s v="#149586106514"/>
    <s v=""/>
    <d v="2026-07-03T00:00:00"/>
    <n v="1"/>
    <s v="MTM18BL54"/>
    <s v="Tomford FR"/>
    <s v="TF5869-B 001 0 ECO"/>
    <n v="29400"/>
    <n v="-5880"/>
    <n v="0"/>
    <n v="22400"/>
    <n v="5"/>
    <n v="1120"/>
    <n v="23520"/>
    <s v="90031100"/>
    <s v="CS0112544"/>
    <s v="TF Modstar 20P"/>
    <s v="R0100-Rakesh Ghosh"/>
    <s v=""/>
    <s v=""/>
    <s v="IG30"/>
    <s v="Posted"/>
    <s v=""/>
    <s v=""/>
    <s v="W149-586-17827413974"/>
    <s v=""/>
    <x v="0"/>
    <x v="2"/>
    <x v="1"/>
    <n v="5880"/>
    <n v="500"/>
  </r>
  <r>
    <x v="5"/>
    <x v="15"/>
    <x v="15"/>
    <s v="#128567106161"/>
    <s v=""/>
    <d v="2026-07-06T00:00:00"/>
    <n v="1"/>
    <s v="MTM17BR49"/>
    <s v="Tomford FR"/>
    <s v="TF5867-B 052 0"/>
    <n v="29400"/>
    <n v="-5880"/>
    <n v="0"/>
    <n v="22400"/>
    <n v="5"/>
    <n v="1120"/>
    <n v="23520"/>
    <s v="90049090"/>
    <s v="CS0611060"/>
    <s v=""/>
    <s v="M0114-Manaranjan Bar"/>
    <s v=""/>
    <s v=""/>
    <s v="IG30"/>
    <s v="Posted"/>
    <s v=""/>
    <s v="OCIW12826000363"/>
    <s v="W128-567-17822941787"/>
    <s v=""/>
    <x v="0"/>
    <x v="11"/>
    <x v="3"/>
    <n v="5880"/>
    <n v="500"/>
  </r>
  <r>
    <x v="5"/>
    <x v="15"/>
    <x v="15"/>
    <s v="#128567106161"/>
    <s v=""/>
    <d v="2026-07-06T00:00:00"/>
    <n v="1"/>
    <s v="111718"/>
    <s v="Crizal FSV"/>
    <s v="1.67 Crizal FSV Clear Rock BCT"/>
    <n v="3150"/>
    <n v="-320"/>
    <n v="0"/>
    <n v="2695.24"/>
    <n v="5"/>
    <n v="134.76"/>
    <n v="2830"/>
    <s v="90049090"/>
    <s v="CS0611060"/>
    <s v=""/>
    <s v="M0114-Manaranjan Bar"/>
    <s v="CRIZALRCK"/>
    <s v=""/>
    <s v="IG001"/>
    <s v="Posted"/>
    <s v=""/>
    <s v="OCIW12826000363"/>
    <s v="W128-567-17822941787"/>
    <s v=""/>
    <x v="2"/>
    <x v="11"/>
    <x v="3"/>
    <n v="320"/>
    <m/>
  </r>
  <r>
    <x v="5"/>
    <x v="15"/>
    <x v="15"/>
    <s v="#128567106161"/>
    <s v=""/>
    <d v="2026-07-06T00:00:00"/>
    <n v="1"/>
    <s v="111718"/>
    <s v="Crizal FSV"/>
    <s v="1.67 Crizal FSV Clear Rock BCT"/>
    <n v="3150"/>
    <n v="0"/>
    <n v="0"/>
    <n v="3000"/>
    <n v="5"/>
    <n v="150"/>
    <n v="3150"/>
    <s v="90049090"/>
    <s v="CS0611060"/>
    <s v="TF Modstar 20P"/>
    <s v="M0114-Manaranjan Bar"/>
    <s v="CRIZALRCK"/>
    <s v=""/>
    <s v="IG001"/>
    <s v="Posted"/>
    <s v=""/>
    <s v="OCIW12826000363"/>
    <s v="W128-567-17822941787"/>
    <s v=""/>
    <x v="2"/>
    <x v="11"/>
    <x v="3"/>
    <n v="0"/>
    <m/>
  </r>
  <r>
    <x v="5"/>
    <x v="5"/>
    <x v="5"/>
    <s v="#149586106642"/>
    <s v=""/>
    <d v="2026-07-17T00:00:00"/>
    <n v="1"/>
    <s v="MTM31BR54"/>
    <s v="Tomford FR"/>
    <s v="TF6071-D-B 053 0"/>
    <n v="38500"/>
    <n v="-7700"/>
    <n v="0"/>
    <n v="29333.34"/>
    <n v="5"/>
    <n v="1466.66"/>
    <n v="30800"/>
    <s v="90031100"/>
    <s v="CS0607028"/>
    <s v="TF Modstar 20P"/>
    <s v="M0113-Md Saeedali K"/>
    <s v=""/>
    <s v=""/>
    <s v="IG30"/>
    <s v="Posted"/>
    <s v=""/>
    <s v=""/>
    <s v="W149-586-17813426155"/>
    <s v=""/>
    <x v="0"/>
    <x v="2"/>
    <x v="1"/>
    <n v="7700"/>
    <n v="500"/>
  </r>
  <r>
    <x v="5"/>
    <x v="6"/>
    <x v="6"/>
    <s v="#075536200578"/>
    <s v=""/>
    <d v="2026-07-18T00:00:00"/>
    <n v="-1"/>
    <s v="MTM21BR52"/>
    <s v="Tomford FR"/>
    <s v="TF5898-B 052 0 ECO"/>
    <n v="32000"/>
    <n v="0"/>
    <n v="0"/>
    <n v="-30476.2"/>
    <n v="5"/>
    <n v="-1523.8"/>
    <n v="-32000"/>
    <s v="90031100"/>
    <s v="CS0585844"/>
    <s v=""/>
    <s v="S0008-S Ravi Kumar"/>
    <s v=""/>
    <s v=""/>
    <s v="IG30"/>
    <s v="Posted"/>
    <s v=""/>
    <s v=""/>
    <s v=""/>
    <s v=""/>
    <x v="0"/>
    <x v="2"/>
    <x v="1"/>
    <n v="0"/>
    <n v="-500"/>
  </r>
  <r>
    <x v="5"/>
    <x v="6"/>
    <x v="6"/>
    <s v="#075536105461"/>
    <s v=""/>
    <d v="2026-07-26T00:00:00"/>
    <n v="1"/>
    <s v="MTM33BR53"/>
    <s v="Tomford FR"/>
    <s v="TF6106-D-B 052 0"/>
    <n v="44500"/>
    <n v="-8900"/>
    <n v="0"/>
    <n v="33904.76"/>
    <n v="5"/>
    <n v="1695.24"/>
    <n v="35600"/>
    <s v="90031100"/>
    <s v="CS0531494"/>
    <s v="TF Modstar 20P"/>
    <s v="S0008-S Ravi Kumar"/>
    <s v=""/>
    <s v=""/>
    <s v="IG30"/>
    <s v="Posted"/>
    <s v="29AAECK0473E1ZN"/>
    <s v=""/>
    <s v="W075-536-17847117970"/>
    <s v=""/>
    <x v="0"/>
    <x v="2"/>
    <x v="1"/>
    <n v="8900"/>
    <n v="500"/>
  </r>
  <r>
    <x v="5"/>
    <x v="15"/>
    <x v="15"/>
    <s v="#128567106271"/>
    <s v=""/>
    <d v="2026-07-29T00:00:00"/>
    <n v="1"/>
    <s v="MTM27GR50"/>
    <s v="Tomford FR"/>
    <s v="TF5963-B 020 0 ECO"/>
    <n v="39500"/>
    <n v="-7900"/>
    <n v="0"/>
    <n v="30095.24"/>
    <n v="5"/>
    <n v="1504.76"/>
    <n v="31600"/>
    <s v="90049090"/>
    <s v="CS0059534"/>
    <s v="Crizal 2nd 50P"/>
    <s v="S0191-Sourav Mukherj"/>
    <s v=""/>
    <s v=""/>
    <s v="IG30"/>
    <s v="Posted"/>
    <s v=""/>
    <s v="OCIW12826000412"/>
    <s v="W128-567-17840372928"/>
    <s v=""/>
    <x v="0"/>
    <x v="11"/>
    <x v="3"/>
    <n v="7900"/>
    <n v="500"/>
  </r>
  <r>
    <x v="5"/>
    <x v="15"/>
    <x v="15"/>
    <s v="#128567106271"/>
    <s v=""/>
    <d v="2026-07-29T00:00:00"/>
    <n v="1"/>
    <s v="111716"/>
    <s v="Crizal FSV"/>
    <s v="1.60 Crizal FSV Clear Rock BCT"/>
    <n v="2650"/>
    <n v="-1325"/>
    <n v="0"/>
    <n v="1261.9000000000001"/>
    <n v="5"/>
    <n v="63.1"/>
    <n v="1325"/>
    <s v="90049090"/>
    <s v="CS0059534"/>
    <s v="Crizal 2nd 50P"/>
    <s v="S0191-Sourav Mukherj"/>
    <s v="CRIZALRCK"/>
    <s v=""/>
    <s v="IG001"/>
    <s v="Posted"/>
    <s v=""/>
    <s v="OCIW12826000412"/>
    <s v="W128-567-17840372928"/>
    <s v=""/>
    <x v="2"/>
    <x v="11"/>
    <x v="3"/>
    <n v="1325"/>
    <m/>
  </r>
  <r>
    <x v="5"/>
    <x v="15"/>
    <x v="15"/>
    <s v="#128567106271"/>
    <s v=""/>
    <d v="2026-07-29T00:00:00"/>
    <n v="1"/>
    <s v="111716"/>
    <s v="Crizal FSV"/>
    <s v="1.60 Crizal FSV Clear Rock BCT"/>
    <n v="2650"/>
    <n v="-1325"/>
    <n v="0"/>
    <n v="1261.9000000000001"/>
    <n v="5"/>
    <n v="63.1"/>
    <n v="1325"/>
    <s v="90049090"/>
    <s v="CS0059534"/>
    <s v="TF Modstar 30P"/>
    <s v="S0191-Sourav Mukherj"/>
    <s v="CRIZALRCK"/>
    <s v=""/>
    <s v="IG001"/>
    <s v="Posted"/>
    <s v=""/>
    <s v="OCIW12826000412"/>
    <s v="W128-567-17840372928"/>
    <s v=""/>
    <x v="2"/>
    <x v="11"/>
    <x v="3"/>
    <n v="1325"/>
    <m/>
  </r>
  <r>
    <x v="5"/>
    <x v="15"/>
    <x v="15"/>
    <s v="#128567106271"/>
    <s v=""/>
    <d v="2026-07-29T00:00:00"/>
    <n v="1"/>
    <s v="MTM32BL53"/>
    <s v="Tomford FR"/>
    <s v="TF6106-D-B 001 0"/>
    <n v="44500"/>
    <n v="-8900"/>
    <n v="0"/>
    <n v="33904.76"/>
    <n v="5"/>
    <n v="1695.24"/>
    <n v="35600"/>
    <s v="90049090"/>
    <s v="CS0059534"/>
    <s v=""/>
    <s v="S0191-Sourav Mukherj"/>
    <s v=""/>
    <s v=""/>
    <s v="IG30"/>
    <s v="Posted"/>
    <s v=""/>
    <s v="OCIW12826000411"/>
    <s v="W128-567-17840372928"/>
    <s v=""/>
    <x v="0"/>
    <x v="11"/>
    <x v="3"/>
    <n v="8900"/>
    <n v="500"/>
  </r>
  <r>
    <x v="5"/>
    <x v="15"/>
    <x v="15"/>
    <s v="#128567106271"/>
    <s v=""/>
    <d v="2026-07-29T00:00:00"/>
    <n v="1"/>
    <s v="111716"/>
    <s v="Crizal FSV"/>
    <s v="1.60 Crizal FSV Clear Rock BCT"/>
    <n v="2650"/>
    <n v="0"/>
    <n v="0"/>
    <n v="2523.8000000000002"/>
    <n v="5"/>
    <n v="126.2"/>
    <n v="2650"/>
    <s v="90049090"/>
    <s v="CS0059534"/>
    <s v=""/>
    <s v="S0191-Sourav Mukherj"/>
    <s v="CRIZALRCK"/>
    <s v=""/>
    <s v="IG001"/>
    <s v="Posted"/>
    <s v=""/>
    <s v="OCIW12826000411"/>
    <s v="W128-567-17840372928"/>
    <s v=""/>
    <x v="2"/>
    <x v="11"/>
    <x v="3"/>
    <n v="0"/>
    <m/>
  </r>
  <r>
    <x v="5"/>
    <x v="15"/>
    <x v="15"/>
    <s v="#128567106271"/>
    <s v=""/>
    <d v="2026-07-29T00:00:00"/>
    <n v="1"/>
    <s v="111716"/>
    <s v="Crizal FSV"/>
    <s v="1.60 Crizal FSV Clear Rock BCT"/>
    <n v="2650"/>
    <n v="0"/>
    <n v="0"/>
    <n v="2523.8000000000002"/>
    <n v="5"/>
    <n v="126.2"/>
    <n v="2650"/>
    <s v="90049090"/>
    <s v="CS0059534"/>
    <s v="TF Modstar 30P"/>
    <s v="S0191-Sourav Mukherj"/>
    <s v="CRIZALRCK"/>
    <s v=""/>
    <s v="IG001"/>
    <s v="Posted"/>
    <s v=""/>
    <s v="OCIW12826000411"/>
    <s v="W128-567-17840372928"/>
    <s v=""/>
    <x v="2"/>
    <x v="11"/>
    <x v="3"/>
    <n v="0"/>
    <m/>
  </r>
  <r>
    <x v="5"/>
    <x v="6"/>
    <x v="6"/>
    <s v="#075536105473"/>
    <s v=""/>
    <d v="2026-07-30T00:00:00"/>
    <n v="1"/>
    <s v="MTM25BL49"/>
    <s v="Tomford FR"/>
    <s v="TF5940-B 001 0 ECO"/>
    <n v="39500"/>
    <n v="-7900"/>
    <n v="0"/>
    <n v="30095.24"/>
    <n v="5"/>
    <n v="1504.76"/>
    <n v="31600"/>
    <s v="90049090"/>
    <s v="CS0618765"/>
    <s v="TF Modstar 30P"/>
    <s v="S0008-S Ravi Kumar"/>
    <s v=""/>
    <s v=""/>
    <s v="IG30"/>
    <s v="Posted"/>
    <s v=""/>
    <s v="OCIW07526000446"/>
    <s v="W075-536-17849868422"/>
    <s v=""/>
    <x v="0"/>
    <x v="2"/>
    <x v="1"/>
    <n v="7900"/>
    <n v="500"/>
  </r>
  <r>
    <x v="5"/>
    <x v="6"/>
    <x v="6"/>
    <s v="#075536105473"/>
    <s v=""/>
    <d v="2026-07-30T00:00:00"/>
    <n v="1"/>
    <s v="211715"/>
    <s v="Crizal SV"/>
    <s v="1.67 Crizal SV  Rock BCT"/>
    <n v="5600"/>
    <n v="0"/>
    <n v="0"/>
    <n v="5333.34"/>
    <n v="5"/>
    <n v="266.66000000000003"/>
    <n v="5600"/>
    <s v="90049090"/>
    <s v="CS0618765"/>
    <s v=""/>
    <s v="S0008-S Ravi Kumar"/>
    <s v="CRIZALRCK"/>
    <s v=""/>
    <s v="IG002"/>
    <s v="Posted"/>
    <s v=""/>
    <s v="OCIW07526000446"/>
    <s v="W075-536-17849868422"/>
    <s v=""/>
    <x v="2"/>
    <x v="2"/>
    <x v="1"/>
    <n v="0"/>
    <m/>
  </r>
  <r>
    <x v="5"/>
    <x v="6"/>
    <x v="6"/>
    <s v="#075536105473"/>
    <s v=""/>
    <d v="2026-07-30T00:00:00"/>
    <n v="1"/>
    <s v="211715"/>
    <s v="Crizal SV"/>
    <s v="1.67 Crizal SV  Rock BCT"/>
    <n v="5600"/>
    <n v="0"/>
    <n v="0"/>
    <n v="5333.34"/>
    <n v="5"/>
    <n v="266.66000000000003"/>
    <n v="5600"/>
    <s v="90049090"/>
    <s v="CS0618765"/>
    <s v=""/>
    <s v="S0008-S Ravi Kumar"/>
    <s v="CRIZALRCK"/>
    <s v=""/>
    <s v="IG002"/>
    <s v="Posted"/>
    <s v=""/>
    <s v="OCIW07526000446"/>
    <s v="W075-536-17849868422"/>
    <s v=""/>
    <x v="2"/>
    <x v="2"/>
    <x v="1"/>
    <n v="0"/>
    <m/>
  </r>
  <r>
    <x v="6"/>
    <x v="1"/>
    <x v="1"/>
    <s v="#160598200866"/>
    <s v=""/>
    <d v="2026-08-06T00:00:00"/>
    <n v="-1"/>
    <s v="MTM8BR55"/>
    <s v="Tomford SG"/>
    <s v="TF1108 48Z 3 ELSA ECO"/>
    <n v="34500"/>
    <n v="0"/>
    <n v="0"/>
    <n v="-29237.279999999999"/>
    <n v="18"/>
    <n v="-5262.72"/>
    <n v="-34500"/>
    <s v="90041000"/>
    <s v="CS0605175"/>
    <s v=""/>
    <s v="Y0006-Yogesh Naudiya"/>
    <s v=""/>
    <s v=""/>
    <s v="IG100"/>
    <s v="Posted"/>
    <s v=""/>
    <s v=""/>
    <s v=""/>
    <s v=""/>
    <x v="1"/>
    <x v="1"/>
    <x v="0"/>
    <n v="0"/>
    <n v="-500"/>
  </r>
  <r>
    <x v="6"/>
    <x v="1"/>
    <x v="1"/>
    <s v="#160598200867"/>
    <s v=""/>
    <d v="2026-08-06T00:00:00"/>
    <n v="-1"/>
    <s v="MTM9BR55"/>
    <s v="Tomford SG"/>
    <s v="TF1108 52E 1/3 PHOTOCROMIC ELSA ECO"/>
    <n v="39000"/>
    <n v="0"/>
    <n v="0"/>
    <n v="-33050.839999999997"/>
    <n v="18"/>
    <n v="-5949.16"/>
    <n v="-39000"/>
    <s v="90041000"/>
    <s v="CS0605176"/>
    <s v=""/>
    <s v="Y0006-Yogesh Naudiya"/>
    <s v=""/>
    <s v=""/>
    <s v="IG100"/>
    <s v="Posted"/>
    <s v=""/>
    <s v=""/>
    <s v=""/>
    <s v=""/>
    <x v="1"/>
    <x v="1"/>
    <x v="0"/>
    <n v="0"/>
    <n v="-500"/>
  </r>
  <r>
    <x v="6"/>
    <x v="16"/>
    <x v="16"/>
    <s v="#127566105434"/>
    <s v=""/>
    <d v="2026-08-08T00:00:00"/>
    <n v="1"/>
    <s v="MTM27GR50"/>
    <s v="Tomford FR"/>
    <s v="TF5963-B 020 0 ECO"/>
    <n v="39500"/>
    <n v="-3950"/>
    <n v="0"/>
    <n v="33857.14"/>
    <n v="5"/>
    <n v="1692.86"/>
    <n v="35550"/>
    <s v="90049090"/>
    <s v="CW019-005811"/>
    <s v="EOSSNB1P"/>
    <s v="G0030-Ganesh Gupta"/>
    <s v=""/>
    <s v=""/>
    <s v="IG30"/>
    <s v="Posted"/>
    <s v=""/>
    <s v="OCIW12726000542"/>
    <s v="W127-566-17850656478"/>
    <s v=""/>
    <x v="0"/>
    <x v="12"/>
    <x v="0"/>
    <n v="3950"/>
    <n v="500"/>
  </r>
  <r>
    <x v="6"/>
    <x v="7"/>
    <x v="7"/>
    <s v="#073534110687"/>
    <s v=""/>
    <d v="2026-08-18T00:00:00"/>
    <n v="1"/>
    <s v="MTM22BR54"/>
    <s v="Tomford FR"/>
    <s v="TF5938-B 057 0 ECO"/>
    <n v="32500"/>
    <n v="-9750"/>
    <n v="0"/>
    <n v="21666.66"/>
    <n v="5"/>
    <n v="1083.3399999999999"/>
    <n v="22750"/>
    <s v="90049090"/>
    <s v="CW073-005392"/>
    <s v=""/>
    <s v="G0003-G K Rajesh"/>
    <s v=""/>
    <s v=""/>
    <s v="IG30"/>
    <s v="Posted"/>
    <s v=""/>
    <s v="OCIW07326000884"/>
    <s v="W073-534-17866085131"/>
    <s v=""/>
    <x v="0"/>
    <x v="4"/>
    <x v="1"/>
    <n v="9750"/>
    <n v="500"/>
  </r>
  <r>
    <x v="6"/>
    <x v="16"/>
    <x v="16"/>
    <s v="#127566105434"/>
    <s v=""/>
    <d v="2026-08-08T00:00:00"/>
    <n v="1"/>
    <s v="2118253"/>
    <s v="Crizal SV"/>
    <s v="1.60 Essilor Sv Crizaleasy Pro  BlueCut"/>
    <n v="3750"/>
    <n v="-1875"/>
    <n v="0"/>
    <n v="1785.72"/>
    <n v="5"/>
    <n v="89.28"/>
    <n v="1875"/>
    <s v="90049090"/>
    <s v="CW019-005811"/>
    <s v=""/>
    <s v="G0030-Ganesh Gupta"/>
    <s v="CRIZALESPR"/>
    <s v=""/>
    <s v="IG002"/>
    <s v="Posted"/>
    <s v=""/>
    <s v="OCIW12726000542"/>
    <s v="OCIW12726000542"/>
    <s v="W127-566-17850656478"/>
    <x v="2"/>
    <x v="12"/>
    <x v="0"/>
    <n v="1875"/>
    <m/>
  </r>
  <r>
    <x v="6"/>
    <x v="16"/>
    <x v="16"/>
    <s v="#127566105434"/>
    <s v=""/>
    <d v="2026-08-08T00:00:00"/>
    <n v="1"/>
    <s v="2118253"/>
    <s v="Crizal SV"/>
    <s v="1.60 Essilor Sv Crizaleasy Pro  BlueCut"/>
    <n v="3750"/>
    <n v="-1875"/>
    <n v="0"/>
    <n v="1785.72"/>
    <n v="5"/>
    <n v="89.28"/>
    <n v="1875"/>
    <s v="90049090"/>
    <s v="CW019-005811"/>
    <s v="EOSSNB1P"/>
    <s v="G0030-Ganesh Gupta"/>
    <s v="CRIZALESPR"/>
    <s v=""/>
    <s v="IG002"/>
    <s v="Posted"/>
    <s v=""/>
    <s v="OCIW12726000542"/>
    <s v="OCIW12726000542"/>
    <s v="W127-566-17850656478"/>
    <x v="2"/>
    <x v="12"/>
    <x v="0"/>
    <n v="1875"/>
    <m/>
  </r>
  <r>
    <x v="6"/>
    <x v="7"/>
    <x v="7"/>
    <s v="#073534110687"/>
    <s v=""/>
    <d v="2026-08-18T00:00:00"/>
    <n v="1"/>
    <s v="2010992461"/>
    <s v="Rodenstock FSV"/>
    <s v="1.67MR 10 Rodenstock Cosmolite PROBlue"/>
    <n v="3544"/>
    <n v="0"/>
    <n v="0"/>
    <n v="3375.24"/>
    <n v="5"/>
    <n v="168.76"/>
    <n v="3544"/>
    <s v="90049090"/>
    <s v="CW073-005392"/>
    <s v=""/>
    <s v="G0003-G K Rajesh"/>
    <s v="SOLTR"/>
    <s v=""/>
    <s v="IG95"/>
    <s v="Posted"/>
    <s v=""/>
    <s v="OCIW07326000884"/>
    <s v="OCIW07326000884"/>
    <s v="W073-534-17866085131"/>
    <x v="2"/>
    <x v="4"/>
    <x v="1"/>
    <n v="0"/>
    <m/>
  </r>
  <r>
    <x v="6"/>
    <x v="7"/>
    <x v="7"/>
    <s v="#073534110687"/>
    <s v=""/>
    <d v="2026-08-18T00:00:00"/>
    <n v="1"/>
    <s v="2010992461"/>
    <s v="Rodenstock FSV"/>
    <s v="1.67MR 10 Rodenstock Cosmolite PROBlue"/>
    <n v="3544"/>
    <n v="0"/>
    <n v="0"/>
    <n v="3375.24"/>
    <n v="5"/>
    <n v="168.76"/>
    <n v="3544"/>
    <s v="90049090"/>
    <s v="CW073-005392"/>
    <s v="TF Modstar 30P"/>
    <s v="G0003-G K Rajesh"/>
    <s v="SOLTR"/>
    <s v=""/>
    <s v="IG95"/>
    <s v="Posted"/>
    <s v=""/>
    <s v="OCIW07326000884"/>
    <s v="OCIW07326000884"/>
    <s v="W073-534-17866085131"/>
    <x v="2"/>
    <x v="4"/>
    <x v="1"/>
    <n v="0"/>
    <m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1">
  <r>
    <x v="0"/>
    <n v="11"/>
  </r>
  <r>
    <x v="1"/>
    <n v="5"/>
  </r>
  <r>
    <x v="2"/>
    <n v="4"/>
  </r>
  <r>
    <x v="3"/>
    <n v="3"/>
  </r>
  <r>
    <x v="4"/>
    <n v="3"/>
  </r>
  <r>
    <x v="5"/>
    <n v="2"/>
  </r>
  <r>
    <x v="6"/>
    <n v="2"/>
  </r>
  <r>
    <x v="7"/>
    <n v="1"/>
  </r>
  <r>
    <x v="8"/>
    <n v="1"/>
  </r>
  <r>
    <x v="9"/>
    <n v="1"/>
  </r>
  <r>
    <x v="10"/>
    <n v="3"/>
  </r>
  <r>
    <x v="11"/>
    <n v="1"/>
  </r>
  <r>
    <x v="12"/>
    <n v="1"/>
  </r>
  <r>
    <x v="13"/>
    <n v="1"/>
  </r>
  <r>
    <x v="14"/>
    <n v="1"/>
  </r>
  <r>
    <x v="15"/>
    <n v="1"/>
  </r>
  <r>
    <x v="16"/>
    <n v="1"/>
  </r>
  <r>
    <x v="17"/>
    <n v="0"/>
  </r>
  <r>
    <x v="18"/>
    <n v="0"/>
  </r>
  <r>
    <x v="19"/>
    <n v="0"/>
  </r>
  <r>
    <x v="20"/>
    <n v="0"/>
  </r>
</pivotCacheRecords>
</file>

<file path=xl/pivotCache/pivotCacheRecords4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">
  <r>
    <x v="0"/>
    <n v="1"/>
    <n v="500"/>
  </r>
  <r>
    <x v="1"/>
    <n v="4"/>
    <n v="2000"/>
  </r>
  <r>
    <x v="2"/>
    <n v="9"/>
    <n v="4500"/>
  </r>
  <r>
    <x v="3"/>
    <n v="6"/>
    <n v="3000"/>
  </r>
  <r>
    <x v="4"/>
    <n v="15"/>
    <n v="7500"/>
  </r>
  <r>
    <x v="5"/>
    <n v="7"/>
    <n v="3500"/>
  </r>
  <r>
    <x v="6"/>
    <n v="0"/>
    <n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CBA4BD8-E3D3-4D95-BA56-9A8DB54483A8}" name="PivotTable1" cacheId="0" applyNumberFormats="0" applyBorderFormats="0" applyFontFormats="0" applyPatternFormats="0" applyAlignmentFormats="0" applyWidthHeightFormats="1" dataCaption="Values" updatedVersion="8" minRefreshableVersion="3" useAutoFormatting="1" colGrandTotals="0" itemPrintTitles="1" createdVersion="8" indent="0" compact="0" compactData="0" gridDropZones="1" multipleFieldFilters="0">
  <location ref="A1:E8" firstHeaderRow="1" firstDataRow="2" firstDataCol="3"/>
  <pivotFields count="28">
    <pivotField axis="axisRow" compact="0" outline="0" showAll="0" defaultSubtotal="0">
      <items count="4">
        <item x="3"/>
        <item x="2"/>
        <item x="0"/>
        <item x="1"/>
      </items>
    </pivotField>
    <pivotField axis="axisRow" compact="0" outline="0" showAll="0" defaultSubtotal="0">
      <items count="4">
        <item x="1"/>
        <item x="2"/>
        <item x="3"/>
        <item x="0"/>
      </items>
    </pivotField>
    <pivotField compact="0" outline="0" showAll="0"/>
    <pivotField axis="axisRow" compact="0" numFmtId="164" outline="0" showAll="0">
      <items count="7">
        <item h="1" x="0"/>
        <item h="1" x="1"/>
        <item x="2"/>
        <item x="3"/>
        <item x="4"/>
        <item x="5"/>
        <item t="default"/>
      </items>
    </pivotField>
    <pivotField dataField="1" compact="0" outline="0" showAll="0"/>
    <pivotField compact="0" outline="0" showAll="0"/>
    <pivotField compact="0" outline="0" showAll="0"/>
    <pivotField axis="axisCol" compact="0" outline="0" showAll="0">
      <items count="4">
        <item x="1"/>
        <item x="2"/>
        <item x="0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</pivotFields>
  <rowFields count="3">
    <field x="0"/>
    <field x="1"/>
    <field x="3"/>
  </rowFields>
  <rowItems count="6">
    <i>
      <x/>
      <x v="2"/>
      <x v="4"/>
    </i>
    <i>
      <x v="1"/>
      <x v="1"/>
      <x v="3"/>
    </i>
    <i>
      <x v="3"/>
      <x/>
      <x v="2"/>
    </i>
    <i r="2">
      <x v="4"/>
    </i>
    <i r="2">
      <x v="5"/>
    </i>
    <i t="grand">
      <x/>
    </i>
  </rowItems>
  <colFields count="1">
    <field x="7"/>
  </colFields>
  <colItems count="2">
    <i>
      <x/>
    </i>
    <i>
      <x v="1"/>
    </i>
  </colItems>
  <dataFields count="1">
    <dataField name="Sum of Qty" fld="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6626F8A-0691-4C08-95DC-82CEA4ABB11D}" name="PivotTable5" cacheId="6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4">
  <location ref="E11:F29" firstHeaderRow="1" firstDataRow="1" firstDataCol="1"/>
  <pivotFields count="2">
    <pivotField axis="axisRow" showAll="0" measureFilter="1">
      <items count="22">
        <item x="19"/>
        <item x="5"/>
        <item x="9"/>
        <item x="20"/>
        <item x="14"/>
        <item x="18"/>
        <item x="12"/>
        <item x="6"/>
        <item x="0"/>
        <item x="13"/>
        <item x="1"/>
        <item x="17"/>
        <item x="7"/>
        <item x="4"/>
        <item x="16"/>
        <item x="15"/>
        <item x="10"/>
        <item x="2"/>
        <item x="8"/>
        <item x="3"/>
        <item x="11"/>
        <item t="default"/>
      </items>
    </pivotField>
    <pivotField dataField="1" numFmtId="3" showAll="0"/>
  </pivotFields>
  <rowFields count="1">
    <field x="0"/>
  </rowFields>
  <rowItems count="18">
    <i>
      <x v="12"/>
    </i>
    <i>
      <x v="9"/>
    </i>
    <i>
      <x v="2"/>
    </i>
    <i>
      <x v="4"/>
    </i>
    <i>
      <x v="14"/>
    </i>
    <i>
      <x v="20"/>
    </i>
    <i>
      <x v="15"/>
    </i>
    <i>
      <x v="6"/>
    </i>
    <i>
      <x v="18"/>
    </i>
    <i>
      <x v="1"/>
    </i>
    <i>
      <x v="7"/>
    </i>
    <i>
      <x v="16"/>
    </i>
    <i>
      <x v="13"/>
    </i>
    <i>
      <x v="19"/>
    </i>
    <i>
      <x v="17"/>
    </i>
    <i>
      <x v="10"/>
    </i>
    <i>
      <x v="8"/>
    </i>
    <i t="grand">
      <x/>
    </i>
  </rowItems>
  <colItems count="1">
    <i/>
  </colItems>
  <dataFields count="1">
    <dataField name="Sum of Qty Sales" fld="1" baseField="0" baseItem="0" numFmtId="3"/>
  </dataFields>
  <chartFormats count="1">
    <chartFormat chart="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0" type="count" evalOrder="-1" id="1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F6A6EE9-FD86-470F-9F05-605C8EF161C5}" name="PivotTable6" cacheId="7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1">
  <location ref="E51:F59" firstHeaderRow="1" firstDataRow="1" firstDataCol="1"/>
  <pivotFields count="5">
    <pivotField numFmtId="169" showAll="0">
      <items count="8">
        <item x="0"/>
        <item x="1"/>
        <item x="2"/>
        <item x="3"/>
        <item x="4"/>
        <item x="5"/>
        <item x="6"/>
        <item t="default"/>
      </items>
    </pivotField>
    <pivotField dataField="1" showAll="0"/>
    <pivotField numFmtId="3" showAll="0"/>
    <pivotField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  <item t="default"/>
      </items>
    </pivotField>
    <pivotField axis="axisRow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rowFields count="1">
    <field x="4"/>
  </rowFields>
  <rowItems count="8"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Items count="1">
    <i/>
  </colItems>
  <dataFields count="1">
    <dataField name=" Qty Sales" fld="1" baseField="0" baseItem="0"/>
  </dataFields>
  <chartFormats count="2">
    <chartFormat chart="8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4">
      <pivotArea type="data" outline="0" fieldPosition="0">
        <references count="2">
          <reference field="4294967294" count="1" selected="0">
            <x v="0"/>
          </reference>
          <reference field="4" count="1" selected="0">
            <x v="7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ED3903C-EACF-42FE-9ECD-AC9A00CD7349}" name="PivotTable1" cacheId="5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gridDropZones="1" multipleFieldFilters="0" fieldListSortAscending="1">
  <location ref="A3:H9" firstHeaderRow="1" firstDataRow="3" firstDataCol="4"/>
  <pivotFields count="36">
    <pivotField axis="axisCol" compact="0" numFmtId="165" outline="0" showAll="0" defaultSubtotal="0">
      <items count="7">
        <item h="1" x="0"/>
        <item h="1" x="1"/>
        <item h="1" x="2"/>
        <item h="1" x="3"/>
        <item h="1" x="4"/>
        <item h="1" x="5"/>
        <item x="6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17">
        <item x="11"/>
        <item x="8"/>
        <item x="0"/>
        <item x="14"/>
        <item x="7"/>
        <item x="6"/>
        <item x="13"/>
        <item x="9"/>
        <item x="10"/>
        <item x="4"/>
        <item x="15"/>
        <item x="3"/>
        <item x="12"/>
        <item x="5"/>
        <item x="1"/>
        <item x="2"/>
        <item x="16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17">
        <item x="8"/>
        <item x="3"/>
        <item x="5"/>
        <item x="6"/>
        <item x="2"/>
        <item x="1"/>
        <item x="10"/>
        <item x="12"/>
        <item x="11"/>
        <item x="13"/>
        <item x="0"/>
        <item x="7"/>
        <item x="14"/>
        <item x="4"/>
        <item x="9"/>
        <item x="15"/>
        <item x="16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64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Col" compact="0" outline="0" showAll="0" defaultSubtotal="0">
      <items count="3">
        <item x="0"/>
        <item x="1"/>
        <item x="2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13">
        <item x="5"/>
        <item x="2"/>
        <item x="1"/>
        <item x="7"/>
        <item x="9"/>
        <item x="8"/>
        <item x="10"/>
        <item x="0"/>
        <item x="4"/>
        <item x="3"/>
        <item x="6"/>
        <item x="11"/>
        <item x="12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4">
        <item x="0"/>
        <item x="1"/>
        <item x="2"/>
        <item x="3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items count="368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x="367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items count="14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</items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4">
    <field x="1"/>
    <field x="2"/>
    <field x="30"/>
    <field x="31"/>
  </rowFields>
  <rowItems count="4">
    <i>
      <x v="4"/>
      <x v="11"/>
      <x v="8"/>
      <x v="1"/>
    </i>
    <i>
      <x v="14"/>
      <x v="5"/>
      <x v="2"/>
      <x/>
    </i>
    <i>
      <x v="16"/>
      <x v="16"/>
      <x v="12"/>
      <x/>
    </i>
    <i t="grand">
      <x/>
    </i>
  </rowItems>
  <colFields count="2">
    <field x="0"/>
    <field x="29"/>
  </colFields>
  <colItems count="4">
    <i>
      <x v="6"/>
      <x/>
    </i>
    <i r="1">
      <x v="1"/>
    </i>
    <i r="1">
      <x v="2"/>
    </i>
    <i t="grand">
      <x/>
    </i>
  </colItems>
  <dataFields count="1">
    <dataField name="Sum of Qty" fld="6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ivotTable" Target="../pivotTables/pivotTable3.xml"/><Relationship Id="rId1" Type="http://schemas.openxmlformats.org/officeDocument/2006/relationships/pivotTable" Target="../pivotTables/pivot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_rels/sheet8.xml.rels><?xml version="1.0" encoding="UTF-8" standalone="yes"?>
<Relationships xmlns="http://schemas.openxmlformats.org/package/2006/relationships"><Relationship Id="rId26" Type="http://schemas.openxmlformats.org/officeDocument/2006/relationships/hyperlink" Target="mailto:santacruz@gkblens.com" TargetMode="External"/><Relationship Id="rId21" Type="http://schemas.openxmlformats.org/officeDocument/2006/relationships/hyperlink" Target="mailto:durgapur@gkblens.com" TargetMode="External"/><Relationship Id="rId42" Type="http://schemas.openxmlformats.org/officeDocument/2006/relationships/hyperlink" Target="mailto:ruby@gkblens.com" TargetMode="External"/><Relationship Id="rId47" Type="http://schemas.openxmlformats.org/officeDocument/2006/relationships/hyperlink" Target="mailto:koramangla@gkblens.com" TargetMode="External"/><Relationship Id="rId63" Type="http://schemas.openxmlformats.org/officeDocument/2006/relationships/hyperlink" Target="mailto:maladinorbit@gkblens.com" TargetMode="External"/><Relationship Id="rId68" Type="http://schemas.openxmlformats.org/officeDocument/2006/relationships/hyperlink" Target="mailto:gkbjaipur@gkblens.com" TargetMode="External"/><Relationship Id="rId16" Type="http://schemas.openxmlformats.org/officeDocument/2006/relationships/hyperlink" Target="mailto:indorephoenix@gkblens.com" TargetMode="External"/><Relationship Id="rId11" Type="http://schemas.openxmlformats.org/officeDocument/2006/relationships/hyperlink" Target="mailto:pondy@gkblens.com" TargetMode="External"/><Relationship Id="rId24" Type="http://schemas.openxmlformats.org/officeDocument/2006/relationships/hyperlink" Target="mailto:seawoodmumbai@gkblens.com" TargetMode="External"/><Relationship Id="rId32" Type="http://schemas.openxmlformats.org/officeDocument/2006/relationships/hyperlink" Target="mailto:amanora@gkblens.com" TargetMode="External"/><Relationship Id="rId37" Type="http://schemas.openxmlformats.org/officeDocument/2006/relationships/hyperlink" Target="mailto:acropolis@gkblens.com" TargetMode="External"/><Relationship Id="rId40" Type="http://schemas.openxmlformats.org/officeDocument/2006/relationships/hyperlink" Target="mailto:hilandpark@gkblens.com" TargetMode="External"/><Relationship Id="rId45" Type="http://schemas.openxmlformats.org/officeDocument/2006/relationships/hyperlink" Target="mailto:citycentre@gkblens.com" TargetMode="External"/><Relationship Id="rId53" Type="http://schemas.openxmlformats.org/officeDocument/2006/relationships/hyperlink" Target="mailto:nungambakkam@gkblens.com" TargetMode="External"/><Relationship Id="rId58" Type="http://schemas.openxmlformats.org/officeDocument/2006/relationships/hyperlink" Target="mailto:himayathnagar@gkblens.com" TargetMode="External"/><Relationship Id="rId66" Type="http://schemas.openxmlformats.org/officeDocument/2006/relationships/hyperlink" Target="mailto:vadodara2@gkblens.com" TargetMode="External"/><Relationship Id="rId74" Type="http://schemas.openxmlformats.org/officeDocument/2006/relationships/hyperlink" Target="mailto:vasaviplaza@gkblens.com" TargetMode="External"/><Relationship Id="rId79" Type="http://schemas.openxmlformats.org/officeDocument/2006/relationships/vmlDrawing" Target="../drawings/vmlDrawing1.vml"/><Relationship Id="rId5" Type="http://schemas.openxmlformats.org/officeDocument/2006/relationships/hyperlink" Target="mailto:oberoimumbai@gkblens.com" TargetMode="External"/><Relationship Id="rId61" Type="http://schemas.openxmlformats.org/officeDocument/2006/relationships/hyperlink" Target="mailto:punemgroad@gkblens.com" TargetMode="External"/><Relationship Id="rId19" Type="http://schemas.openxmlformats.org/officeDocument/2006/relationships/hyperlink" Target="mailto:ahmedabadone@gkblens.com" TargetMode="External"/><Relationship Id="rId14" Type="http://schemas.openxmlformats.org/officeDocument/2006/relationships/hyperlink" Target="mailto:raipur@gkblens.com" TargetMode="External"/><Relationship Id="rId22" Type="http://schemas.openxmlformats.org/officeDocument/2006/relationships/hyperlink" Target="mailto:guwahati@gkblens.com" TargetMode="External"/><Relationship Id="rId27" Type="http://schemas.openxmlformats.org/officeDocument/2006/relationships/hyperlink" Target="mailto:mysore@gkblens.com" TargetMode="External"/><Relationship Id="rId30" Type="http://schemas.openxmlformats.org/officeDocument/2006/relationships/hyperlink" Target="mailto:adyar@gkblens.com" TargetMode="External"/><Relationship Id="rId35" Type="http://schemas.openxmlformats.org/officeDocument/2006/relationships/hyperlink" Target="mailto:ranchi@gkblens.com" TargetMode="External"/><Relationship Id="rId43" Type="http://schemas.openxmlformats.org/officeDocument/2006/relationships/hyperlink" Target="mailto:gkbgariahat@gkblens.com" TargetMode="External"/><Relationship Id="rId48" Type="http://schemas.openxmlformats.org/officeDocument/2006/relationships/hyperlink" Target="mailto:blmgroad@gkblens.com" TargetMode="External"/><Relationship Id="rId56" Type="http://schemas.openxmlformats.org/officeDocument/2006/relationships/hyperlink" Target="mailto:siripuramvizag@gkblens.com" TargetMode="External"/><Relationship Id="rId64" Type="http://schemas.openxmlformats.org/officeDocument/2006/relationships/hyperlink" Target="mailto:dadar@gkblens.com" TargetMode="External"/><Relationship Id="rId69" Type="http://schemas.openxmlformats.org/officeDocument/2006/relationships/hyperlink" Target="mailto:chandigarh@gkblens.com" TargetMode="External"/><Relationship Id="rId77" Type="http://schemas.openxmlformats.org/officeDocument/2006/relationships/hyperlink" Target="mailto:nspdelhi@gkblens.com" TargetMode="External"/><Relationship Id="rId8" Type="http://schemas.openxmlformats.org/officeDocument/2006/relationships/hyperlink" Target="mailto:gkbbhartiya@gkblens.com" TargetMode="External"/><Relationship Id="rId51" Type="http://schemas.openxmlformats.org/officeDocument/2006/relationships/hyperlink" Target="mailto:alwarpet@gkblens.com" TargetMode="External"/><Relationship Id="rId72" Type="http://schemas.openxmlformats.org/officeDocument/2006/relationships/hyperlink" Target="mailto:dlfgalleria@gkblens.com" TargetMode="External"/><Relationship Id="rId80" Type="http://schemas.openxmlformats.org/officeDocument/2006/relationships/comments" Target="../comments1.xml"/><Relationship Id="rId3" Type="http://schemas.openxmlformats.org/officeDocument/2006/relationships/hyperlink" Target="mailto:phoenixmumbai2@gkblens.com" TargetMode="External"/><Relationship Id="rId12" Type="http://schemas.openxmlformats.org/officeDocument/2006/relationships/hyperlink" Target="mailto:phoenixchennai@gkblens.com" TargetMode="External"/><Relationship Id="rId17" Type="http://schemas.openxmlformats.org/officeDocument/2006/relationships/hyperlink" Target="mailto:parkstreet@gkblens.com" TargetMode="External"/><Relationship Id="rId25" Type="http://schemas.openxmlformats.org/officeDocument/2006/relationships/hyperlink" Target="mailto:maladinfinity@gkblens.com" TargetMode="External"/><Relationship Id="rId33" Type="http://schemas.openxmlformats.org/officeDocument/2006/relationships/hyperlink" Target="mailto:expressmall@gkblens.com" TargetMode="External"/><Relationship Id="rId38" Type="http://schemas.openxmlformats.org/officeDocument/2006/relationships/hyperlink" Target="mailto:gkbavani@gkblens.com" TargetMode="External"/><Relationship Id="rId46" Type="http://schemas.openxmlformats.org/officeDocument/2006/relationships/hyperlink" Target="mailto:rashbehari@gkblens.com" TargetMode="External"/><Relationship Id="rId59" Type="http://schemas.openxmlformats.org/officeDocument/2006/relationships/hyperlink" Target="mailto:gkbvizag@gkblens.com" TargetMode="External"/><Relationship Id="rId67" Type="http://schemas.openxmlformats.org/officeDocument/2006/relationships/hyperlink" Target="mailto:miroad@gkblens.com" TargetMode="External"/><Relationship Id="rId20" Type="http://schemas.openxmlformats.org/officeDocument/2006/relationships/hyperlink" Target="mailto:citycentresiliguri@gkblens.com" TargetMode="External"/><Relationship Id="rId41" Type="http://schemas.openxmlformats.org/officeDocument/2006/relationships/hyperlink" Target="mailto:saltlake@gkblens.com" TargetMode="External"/><Relationship Id="rId54" Type="http://schemas.openxmlformats.org/officeDocument/2006/relationships/hyperlink" Target="mailto:annanagar@gkblens.com" TargetMode="External"/><Relationship Id="rId62" Type="http://schemas.openxmlformats.org/officeDocument/2006/relationships/hyperlink" Target="mailto:powaimumbai@gkblens.com" TargetMode="External"/><Relationship Id="rId70" Type="http://schemas.openxmlformats.org/officeDocument/2006/relationships/hyperlink" Target="mailto:ludhiana@gkblens.com" TargetMode="External"/><Relationship Id="rId75" Type="http://schemas.openxmlformats.org/officeDocument/2006/relationships/hyperlink" Target="mailto:dehradun@gkblens.com" TargetMode="External"/><Relationship Id="rId1" Type="http://schemas.openxmlformats.org/officeDocument/2006/relationships/hyperlink" Target="mailto:punemillenium@gkblens.com" TargetMode="External"/><Relationship Id="rId6" Type="http://schemas.openxmlformats.org/officeDocument/2006/relationships/hyperlink" Target="mailto:ahmdpalladium@gkblens.com" TargetMode="External"/><Relationship Id="rId15" Type="http://schemas.openxmlformats.org/officeDocument/2006/relationships/hyperlink" Target="mailto:falconbangalore@gkblens.com" TargetMode="External"/><Relationship Id="rId23" Type="http://schemas.openxmlformats.org/officeDocument/2006/relationships/hyperlink" Target="mailto:indiranagar@gkblens.com" TargetMode="External"/><Relationship Id="rId28" Type="http://schemas.openxmlformats.org/officeDocument/2006/relationships/hyperlink" Target="mailto:vip@gkblens.com" TargetMode="External"/><Relationship Id="rId36" Type="http://schemas.openxmlformats.org/officeDocument/2006/relationships/hyperlink" Target="mailto:koldhroad@gkblens.com" TargetMode="External"/><Relationship Id="rId49" Type="http://schemas.openxmlformats.org/officeDocument/2006/relationships/hyperlink" Target="mailto:malleswaram@gkblens.com" TargetMode="External"/><Relationship Id="rId57" Type="http://schemas.openxmlformats.org/officeDocument/2006/relationships/hyperlink" Target="mailto:jubileehills@gkblens.com" TargetMode="External"/><Relationship Id="rId10" Type="http://schemas.openxmlformats.org/officeDocument/2006/relationships/hyperlink" Target="mailto:velachery@gkblens.com" TargetMode="External"/><Relationship Id="rId31" Type="http://schemas.openxmlformats.org/officeDocument/2006/relationships/hyperlink" Target="mailto:kalyaninagar@gkblens.com" TargetMode="External"/><Relationship Id="rId44" Type="http://schemas.openxmlformats.org/officeDocument/2006/relationships/hyperlink" Target="mailto:citycentre2@gkblens.com" TargetMode="External"/><Relationship Id="rId52" Type="http://schemas.openxmlformats.org/officeDocument/2006/relationships/hyperlink" Target="mailto:mylapore@gkblens.com&#160;" TargetMode="External"/><Relationship Id="rId60" Type="http://schemas.openxmlformats.org/officeDocument/2006/relationships/hyperlink" Target="mailto:punephoenix@gkblens.com" TargetMode="External"/><Relationship Id="rId65" Type="http://schemas.openxmlformats.org/officeDocument/2006/relationships/hyperlink" Target="mailto:vashi2@gkblens.com" TargetMode="External"/><Relationship Id="rId73" Type="http://schemas.openxmlformats.org/officeDocument/2006/relationships/hyperlink" Target="mailto:arjunmarg@gkblens.com" TargetMode="External"/><Relationship Id="rId78" Type="http://schemas.openxmlformats.org/officeDocument/2006/relationships/hyperlink" Target="mailto:gurgaonhuda@gkblens.com" TargetMode="External"/><Relationship Id="rId4" Type="http://schemas.openxmlformats.org/officeDocument/2006/relationships/hyperlink" Target="mailto:indiranagar2@gkblens.com" TargetMode="External"/><Relationship Id="rId9" Type="http://schemas.openxmlformats.org/officeDocument/2006/relationships/hyperlink" Target="mailto:gkbbial@gkblens.com" TargetMode="External"/><Relationship Id="rId13" Type="http://schemas.openxmlformats.org/officeDocument/2006/relationships/hyperlink" Target="mailto:tnagar@gkblens.com" TargetMode="External"/><Relationship Id="rId18" Type="http://schemas.openxmlformats.org/officeDocument/2006/relationships/hyperlink" Target="mailto:phoenixlucknow@gkblens.com" TargetMode="External"/><Relationship Id="rId39" Type="http://schemas.openxmlformats.org/officeDocument/2006/relationships/hyperlink" Target="mailto:gkbquest@gkblens.com" TargetMode="External"/><Relationship Id="rId34" Type="http://schemas.openxmlformats.org/officeDocument/2006/relationships/hyperlink" Target="mailto:brigadebangalore@gkblens.com" TargetMode="External"/><Relationship Id="rId50" Type="http://schemas.openxmlformats.org/officeDocument/2006/relationships/hyperlink" Target="mailto:gkbphoenix@gkblens.com" TargetMode="External"/><Relationship Id="rId55" Type="http://schemas.openxmlformats.org/officeDocument/2006/relationships/hyperlink" Target="mailto:sarathcity@gkblens.com" TargetMode="External"/><Relationship Id="rId76" Type="http://schemas.openxmlformats.org/officeDocument/2006/relationships/hyperlink" Target="mailto:m5bangalore@gkblens.com" TargetMode="External"/><Relationship Id="rId7" Type="http://schemas.openxmlformats.org/officeDocument/2006/relationships/hyperlink" Target="mailto:mumbaircity@gkblens.com" TargetMode="External"/><Relationship Id="rId71" Type="http://schemas.openxmlformats.org/officeDocument/2006/relationships/hyperlink" Target="mailto:ambiencegurgaon@gkblens.com" TargetMode="External"/><Relationship Id="rId2" Type="http://schemas.openxmlformats.org/officeDocument/2006/relationships/hyperlink" Target="mailto:kochiforum@gkblens.com" TargetMode="External"/><Relationship Id="rId29" Type="http://schemas.openxmlformats.org/officeDocument/2006/relationships/hyperlink" Target="mailto:gurusaday@gkblens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E88BAD-C6AE-45B6-B10C-E2988D9C0800}">
  <sheetPr filterMode="1"/>
  <dimension ref="A1:AB8"/>
  <sheetViews>
    <sheetView workbookViewId="0">
      <selection activeCell="B35" sqref="B35"/>
    </sheetView>
  </sheetViews>
  <sheetFormatPr defaultRowHeight="15" x14ac:dyDescent="0.25"/>
  <cols>
    <col min="2" max="2" width="25.85546875" customWidth="1"/>
    <col min="3" max="3" width="15" customWidth="1"/>
    <col min="4" max="4" width="14.7109375" customWidth="1"/>
    <col min="6" max="6" width="17.7109375" customWidth="1"/>
    <col min="7" max="7" width="14.85546875" customWidth="1"/>
    <col min="8" max="8" width="10.140625" customWidth="1"/>
  </cols>
  <sheetData>
    <row r="1" spans="1:28" x14ac:dyDescent="0.25">
      <c r="A1" t="s">
        <v>4</v>
      </c>
      <c r="B1" t="s">
        <v>64</v>
      </c>
      <c r="C1" t="s">
        <v>65</v>
      </c>
      <c r="D1" s="6" t="s">
        <v>66</v>
      </c>
      <c r="E1" t="s">
        <v>67</v>
      </c>
      <c r="F1" t="s">
        <v>5</v>
      </c>
      <c r="G1" t="s">
        <v>68</v>
      </c>
      <c r="H1" t="s">
        <v>0</v>
      </c>
      <c r="I1" t="s">
        <v>69</v>
      </c>
      <c r="J1" t="s">
        <v>70</v>
      </c>
      <c r="K1" t="s">
        <v>71</v>
      </c>
      <c r="L1" t="s">
        <v>72</v>
      </c>
      <c r="M1" t="s">
        <v>73</v>
      </c>
      <c r="N1" t="s">
        <v>74</v>
      </c>
      <c r="O1" t="s">
        <v>75</v>
      </c>
      <c r="P1" t="s">
        <v>76</v>
      </c>
      <c r="Q1" t="s">
        <v>77</v>
      </c>
      <c r="R1" t="s">
        <v>78</v>
      </c>
      <c r="S1" t="s">
        <v>79</v>
      </c>
      <c r="T1" t="s">
        <v>80</v>
      </c>
      <c r="U1" t="s">
        <v>81</v>
      </c>
      <c r="V1" t="s">
        <v>82</v>
      </c>
      <c r="W1" t="s">
        <v>83</v>
      </c>
      <c r="X1" t="s">
        <v>84</v>
      </c>
      <c r="Y1" t="s">
        <v>85</v>
      </c>
      <c r="Z1" t="s">
        <v>86</v>
      </c>
      <c r="AA1" t="s">
        <v>87</v>
      </c>
      <c r="AB1" t="s">
        <v>88</v>
      </c>
    </row>
    <row r="2" spans="1:28" hidden="1" x14ac:dyDescent="0.25">
      <c r="A2" s="7" t="s">
        <v>89</v>
      </c>
      <c r="B2" s="7" t="s">
        <v>90</v>
      </c>
      <c r="C2" s="7" t="s">
        <v>91</v>
      </c>
      <c r="D2" s="8">
        <v>46115</v>
      </c>
      <c r="E2" s="7">
        <v>1</v>
      </c>
      <c r="F2" s="7" t="s">
        <v>56</v>
      </c>
      <c r="G2" s="7" t="s">
        <v>92</v>
      </c>
      <c r="H2" s="7"/>
      <c r="I2" s="7" t="s">
        <v>93</v>
      </c>
      <c r="J2" s="7">
        <v>43000</v>
      </c>
      <c r="K2" s="7">
        <v>0</v>
      </c>
      <c r="L2" s="7">
        <v>0</v>
      </c>
      <c r="M2" s="7">
        <v>36440.68</v>
      </c>
      <c r="N2" s="7">
        <v>18</v>
      </c>
      <c r="O2" s="7">
        <v>6559.32</v>
      </c>
      <c r="P2" s="7">
        <v>43000</v>
      </c>
      <c r="Q2" s="7" t="s">
        <v>94</v>
      </c>
      <c r="R2" s="7" t="s">
        <v>95</v>
      </c>
      <c r="S2" s="7" t="s">
        <v>96</v>
      </c>
      <c r="T2" s="7" t="s">
        <v>97</v>
      </c>
      <c r="U2" s="7" t="s">
        <v>96</v>
      </c>
      <c r="V2" s="7" t="s">
        <v>96</v>
      </c>
      <c r="W2" s="7" t="s">
        <v>98</v>
      </c>
      <c r="X2" s="7" t="s">
        <v>99</v>
      </c>
      <c r="Y2" s="7" t="s">
        <v>96</v>
      </c>
      <c r="Z2" s="7" t="s">
        <v>96</v>
      </c>
      <c r="AA2" s="7" t="s">
        <v>100</v>
      </c>
      <c r="AB2" s="7" t="s">
        <v>96</v>
      </c>
    </row>
    <row r="3" spans="1:28" hidden="1" x14ac:dyDescent="0.25">
      <c r="A3" s="7" t="s">
        <v>101</v>
      </c>
      <c r="B3" s="7" t="s">
        <v>102</v>
      </c>
      <c r="C3" s="7" t="s">
        <v>103</v>
      </c>
      <c r="D3" s="8">
        <v>46125</v>
      </c>
      <c r="E3" s="7">
        <v>1</v>
      </c>
      <c r="F3" s="7" t="s">
        <v>29</v>
      </c>
      <c r="G3" s="7" t="s">
        <v>104</v>
      </c>
      <c r="H3" s="7"/>
      <c r="I3" s="7" t="s">
        <v>105</v>
      </c>
      <c r="J3" s="7">
        <v>29400</v>
      </c>
      <c r="K3" s="7">
        <v>-3782.12</v>
      </c>
      <c r="L3" s="7">
        <v>0</v>
      </c>
      <c r="M3" s="7">
        <v>24397.98</v>
      </c>
      <c r="N3" s="7">
        <v>5</v>
      </c>
      <c r="O3" s="7">
        <v>1219.9000000000001</v>
      </c>
      <c r="P3" s="7">
        <v>25617.88</v>
      </c>
      <c r="Q3" s="7" t="s">
        <v>106</v>
      </c>
      <c r="R3" s="7" t="s">
        <v>107</v>
      </c>
      <c r="S3" s="7" t="s">
        <v>96</v>
      </c>
      <c r="T3" s="7" t="s">
        <v>108</v>
      </c>
      <c r="U3" s="7" t="s">
        <v>96</v>
      </c>
      <c r="V3" s="7" t="s">
        <v>96</v>
      </c>
      <c r="W3" s="7" t="s">
        <v>109</v>
      </c>
      <c r="X3" s="7" t="s">
        <v>99</v>
      </c>
      <c r="Y3" s="7" t="s">
        <v>96</v>
      </c>
      <c r="Z3" s="7" t="s">
        <v>110</v>
      </c>
      <c r="AA3" s="7" t="s">
        <v>111</v>
      </c>
      <c r="AB3" s="7" t="s">
        <v>96</v>
      </c>
    </row>
    <row r="4" spans="1:28" x14ac:dyDescent="0.25">
      <c r="A4" s="7" t="s">
        <v>101</v>
      </c>
      <c r="B4" s="7" t="s">
        <v>102</v>
      </c>
      <c r="C4" s="7" t="s">
        <v>112</v>
      </c>
      <c r="D4" s="8">
        <v>46130</v>
      </c>
      <c r="E4" s="7">
        <v>1</v>
      </c>
      <c r="F4" s="7" t="s">
        <v>55</v>
      </c>
      <c r="G4" s="7" t="s">
        <v>104</v>
      </c>
      <c r="H4" s="7" t="s">
        <v>1</v>
      </c>
      <c r="I4" s="7" t="s">
        <v>113</v>
      </c>
      <c r="J4" s="7">
        <v>44500</v>
      </c>
      <c r="K4" s="7">
        <v>-8900</v>
      </c>
      <c r="L4" s="7">
        <v>0</v>
      </c>
      <c r="M4" s="7">
        <v>33904.76</v>
      </c>
      <c r="N4" s="7">
        <v>5</v>
      </c>
      <c r="O4" s="7">
        <v>1695.24</v>
      </c>
      <c r="P4" s="7">
        <v>35600</v>
      </c>
      <c r="Q4" s="7" t="s">
        <v>114</v>
      </c>
      <c r="R4" s="7" t="s">
        <v>115</v>
      </c>
      <c r="S4" s="7" t="s">
        <v>116</v>
      </c>
      <c r="T4" s="7" t="s">
        <v>108</v>
      </c>
      <c r="U4" s="7" t="s">
        <v>96</v>
      </c>
      <c r="V4" s="7" t="s">
        <v>96</v>
      </c>
      <c r="W4" s="7" t="s">
        <v>109</v>
      </c>
      <c r="X4" s="7" t="s">
        <v>99</v>
      </c>
      <c r="Y4" s="7" t="s">
        <v>96</v>
      </c>
      <c r="Z4" s="7" t="s">
        <v>96</v>
      </c>
      <c r="AA4" s="7" t="s">
        <v>96</v>
      </c>
      <c r="AB4" s="7" t="s">
        <v>96</v>
      </c>
    </row>
    <row r="5" spans="1:28" x14ac:dyDescent="0.25">
      <c r="A5" s="7" t="s">
        <v>117</v>
      </c>
      <c r="B5" s="7" t="s">
        <v>118</v>
      </c>
      <c r="C5" s="7" t="s">
        <v>119</v>
      </c>
      <c r="D5" s="8">
        <v>46132</v>
      </c>
      <c r="E5" s="7">
        <v>1</v>
      </c>
      <c r="F5" s="7" t="s">
        <v>22</v>
      </c>
      <c r="G5" s="7" t="s">
        <v>104</v>
      </c>
      <c r="H5" s="7" t="s">
        <v>1</v>
      </c>
      <c r="I5" s="7" t="s">
        <v>120</v>
      </c>
      <c r="J5" s="7">
        <v>32000</v>
      </c>
      <c r="K5" s="7">
        <v>-6400</v>
      </c>
      <c r="L5" s="7">
        <v>0</v>
      </c>
      <c r="M5" s="7">
        <v>24380.959999999999</v>
      </c>
      <c r="N5" s="7">
        <v>5</v>
      </c>
      <c r="O5" s="7">
        <v>1219.04</v>
      </c>
      <c r="P5" s="7">
        <v>25600</v>
      </c>
      <c r="Q5" s="7" t="s">
        <v>106</v>
      </c>
      <c r="R5" s="7" t="s">
        <v>121</v>
      </c>
      <c r="S5" s="7" t="s">
        <v>96</v>
      </c>
      <c r="T5" s="7" t="s">
        <v>122</v>
      </c>
      <c r="U5" s="7" t="s">
        <v>96</v>
      </c>
      <c r="V5" s="7" t="s">
        <v>96</v>
      </c>
      <c r="W5" s="7" t="s">
        <v>109</v>
      </c>
      <c r="X5" s="7" t="s">
        <v>99</v>
      </c>
      <c r="Y5" s="7" t="s">
        <v>96</v>
      </c>
      <c r="Z5" s="7" t="s">
        <v>123</v>
      </c>
      <c r="AA5" s="7" t="s">
        <v>124</v>
      </c>
      <c r="AB5" s="7" t="s">
        <v>96</v>
      </c>
    </row>
    <row r="6" spans="1:28" x14ac:dyDescent="0.25">
      <c r="A6" s="7" t="s">
        <v>125</v>
      </c>
      <c r="B6" s="7" t="s">
        <v>126</v>
      </c>
      <c r="C6" s="7" t="s">
        <v>127</v>
      </c>
      <c r="D6" s="8">
        <v>46133</v>
      </c>
      <c r="E6" s="7">
        <v>1</v>
      </c>
      <c r="F6" s="7" t="s">
        <v>29</v>
      </c>
      <c r="G6" s="7" t="s">
        <v>104</v>
      </c>
      <c r="H6" s="7" t="s">
        <v>1</v>
      </c>
      <c r="I6" s="7" t="s">
        <v>105</v>
      </c>
      <c r="J6" s="7">
        <v>29400</v>
      </c>
      <c r="K6" s="7">
        <v>-4475.3599999999997</v>
      </c>
      <c r="L6" s="7">
        <v>0</v>
      </c>
      <c r="M6" s="7">
        <v>23737.759999999998</v>
      </c>
      <c r="N6" s="7">
        <v>5</v>
      </c>
      <c r="O6" s="7">
        <v>1186.8800000000001</v>
      </c>
      <c r="P6" s="7">
        <v>24924.639999999999</v>
      </c>
      <c r="Q6" s="7" t="s">
        <v>106</v>
      </c>
      <c r="R6" s="7" t="s">
        <v>128</v>
      </c>
      <c r="S6" s="7" t="s">
        <v>96</v>
      </c>
      <c r="T6" s="7" t="s">
        <v>129</v>
      </c>
      <c r="U6" s="7" t="s">
        <v>96</v>
      </c>
      <c r="V6" s="7" t="s">
        <v>96</v>
      </c>
      <c r="W6" s="7" t="s">
        <v>109</v>
      </c>
      <c r="X6" s="7" t="s">
        <v>99</v>
      </c>
      <c r="Y6" s="7" t="s">
        <v>96</v>
      </c>
      <c r="Z6" s="7" t="s">
        <v>130</v>
      </c>
      <c r="AA6" s="7" t="s">
        <v>131</v>
      </c>
      <c r="AB6" s="7" t="s">
        <v>96</v>
      </c>
    </row>
    <row r="7" spans="1:28" x14ac:dyDescent="0.25">
      <c r="A7" s="7" t="s">
        <v>101</v>
      </c>
      <c r="B7" s="7" t="s">
        <v>102</v>
      </c>
      <c r="C7" s="7" t="s">
        <v>132</v>
      </c>
      <c r="D7" s="8">
        <v>46133</v>
      </c>
      <c r="E7" s="7">
        <v>1</v>
      </c>
      <c r="F7" s="7" t="s">
        <v>9</v>
      </c>
      <c r="G7" s="7" t="s">
        <v>104</v>
      </c>
      <c r="H7" s="7" t="s">
        <v>1</v>
      </c>
      <c r="I7" s="7" t="s">
        <v>133</v>
      </c>
      <c r="J7" s="7">
        <v>29400</v>
      </c>
      <c r="K7" s="7">
        <v>-3528</v>
      </c>
      <c r="L7" s="7">
        <v>0</v>
      </c>
      <c r="M7" s="7">
        <v>24640</v>
      </c>
      <c r="N7" s="7">
        <v>5</v>
      </c>
      <c r="O7" s="7">
        <v>1232</v>
      </c>
      <c r="P7" s="7">
        <v>25872</v>
      </c>
      <c r="Q7" s="7" t="s">
        <v>114</v>
      </c>
      <c r="R7" s="7" t="s">
        <v>134</v>
      </c>
      <c r="S7" s="7" t="s">
        <v>96</v>
      </c>
      <c r="T7" s="7" t="s">
        <v>135</v>
      </c>
      <c r="U7" s="7" t="s">
        <v>96</v>
      </c>
      <c r="V7" s="7" t="s">
        <v>96</v>
      </c>
      <c r="W7" s="7" t="s">
        <v>109</v>
      </c>
      <c r="X7" s="7" t="s">
        <v>99</v>
      </c>
      <c r="Y7" s="7" t="s">
        <v>96</v>
      </c>
      <c r="Z7" s="7" t="s">
        <v>96</v>
      </c>
      <c r="AA7" s="7" t="s">
        <v>136</v>
      </c>
      <c r="AB7" s="7" t="s">
        <v>96</v>
      </c>
    </row>
    <row r="8" spans="1:28" x14ac:dyDescent="0.25">
      <c r="A8" s="7" t="s">
        <v>101</v>
      </c>
      <c r="B8" s="7" t="s">
        <v>102</v>
      </c>
      <c r="C8" s="7" t="s">
        <v>137</v>
      </c>
      <c r="D8" s="8">
        <v>46134</v>
      </c>
      <c r="E8" s="7">
        <v>1</v>
      </c>
      <c r="F8" s="7" t="s">
        <v>49</v>
      </c>
      <c r="G8" s="7" t="s">
        <v>92</v>
      </c>
      <c r="H8" s="7" t="s">
        <v>2</v>
      </c>
      <c r="I8" s="7" t="s">
        <v>138</v>
      </c>
      <c r="J8" s="7">
        <v>40100</v>
      </c>
      <c r="K8" s="7">
        <v>-8020</v>
      </c>
      <c r="L8" s="7">
        <v>0</v>
      </c>
      <c r="M8" s="7">
        <v>27186.44</v>
      </c>
      <c r="N8" s="7">
        <v>18</v>
      </c>
      <c r="O8" s="7">
        <v>4893.5600000000004</v>
      </c>
      <c r="P8" s="7">
        <v>32080</v>
      </c>
      <c r="Q8" s="7" t="s">
        <v>94</v>
      </c>
      <c r="R8" s="7" t="s">
        <v>139</v>
      </c>
      <c r="S8" s="7" t="s">
        <v>116</v>
      </c>
      <c r="T8" s="7" t="s">
        <v>140</v>
      </c>
      <c r="U8" s="7" t="s">
        <v>96</v>
      </c>
      <c r="V8" s="7" t="s">
        <v>96</v>
      </c>
      <c r="W8" s="7" t="s">
        <v>98</v>
      </c>
      <c r="X8" s="7" t="s">
        <v>99</v>
      </c>
      <c r="Y8" s="7" t="s">
        <v>96</v>
      </c>
      <c r="Z8" s="7" t="s">
        <v>96</v>
      </c>
      <c r="AA8" s="7" t="s">
        <v>141</v>
      </c>
      <c r="AB8" s="7" t="s">
        <v>96</v>
      </c>
    </row>
  </sheetData>
  <autoFilter ref="A1:AB8" xr:uid="{19E88BAD-C6AE-45B6-B10C-E2988D9C0800}">
    <filterColumn colId="3">
      <filters>
        <dateGroupItem year="2026" month="4" day="18" dateTimeGrouping="day"/>
        <dateGroupItem year="2026" month="4" day="20" dateTimeGrouping="day"/>
        <dateGroupItem year="2026" month="4" day="21" dateTimeGrouping="day"/>
        <dateGroupItem year="2026" month="4" day="22" dateTimeGrouping="day"/>
      </filters>
    </filterColumn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5860BC-6BFE-4730-9B0A-1A0711FB3CE8}">
  <dimension ref="A1:E8"/>
  <sheetViews>
    <sheetView workbookViewId="0">
      <selection activeCell="B15" sqref="B15"/>
    </sheetView>
  </sheetViews>
  <sheetFormatPr defaultRowHeight="15" x14ac:dyDescent="0.25"/>
  <cols>
    <col min="1" max="1" width="29.140625" bestFit="1" customWidth="1"/>
    <col min="2" max="2" width="25.28515625" bestFit="1" customWidth="1"/>
    <col min="3" max="3" width="12.85546875" bestFit="1" customWidth="1"/>
    <col min="4" max="4" width="7.5703125" bestFit="1" customWidth="1"/>
    <col min="5" max="5" width="9" bestFit="1" customWidth="1"/>
    <col min="6" max="9" width="11.28515625" bestFit="1" customWidth="1"/>
  </cols>
  <sheetData>
    <row r="1" spans="1:5" x14ac:dyDescent="0.25">
      <c r="A1" s="9" t="s">
        <v>142</v>
      </c>
      <c r="D1" s="9" t="s">
        <v>0</v>
      </c>
    </row>
    <row r="2" spans="1:5" x14ac:dyDescent="0.25">
      <c r="A2" s="9" t="s">
        <v>4</v>
      </c>
      <c r="B2" s="9" t="s">
        <v>64</v>
      </c>
      <c r="C2" s="9" t="s">
        <v>66</v>
      </c>
      <c r="D2" t="s">
        <v>1</v>
      </c>
      <c r="E2" t="s">
        <v>2</v>
      </c>
    </row>
    <row r="3" spans="1:5" x14ac:dyDescent="0.25">
      <c r="A3" t="s">
        <v>125</v>
      </c>
      <c r="B3" t="s">
        <v>126</v>
      </c>
      <c r="C3" s="6">
        <v>46133</v>
      </c>
      <c r="D3">
        <v>1</v>
      </c>
    </row>
    <row r="4" spans="1:5" x14ac:dyDescent="0.25">
      <c r="A4" t="s">
        <v>117</v>
      </c>
      <c r="B4" t="s">
        <v>118</v>
      </c>
      <c r="C4" s="6">
        <v>46132</v>
      </c>
      <c r="D4">
        <v>1</v>
      </c>
    </row>
    <row r="5" spans="1:5" x14ac:dyDescent="0.25">
      <c r="A5" t="s">
        <v>101</v>
      </c>
      <c r="B5" t="s">
        <v>102</v>
      </c>
      <c r="C5" s="6">
        <v>46130</v>
      </c>
      <c r="D5">
        <v>1</v>
      </c>
    </row>
    <row r="6" spans="1:5" x14ac:dyDescent="0.25">
      <c r="C6" s="6">
        <v>46133</v>
      </c>
      <c r="D6">
        <v>1</v>
      </c>
    </row>
    <row r="7" spans="1:5" x14ac:dyDescent="0.25">
      <c r="C7" s="6">
        <v>46134</v>
      </c>
      <c r="E7">
        <v>1</v>
      </c>
    </row>
    <row r="8" spans="1:5" x14ac:dyDescent="0.25">
      <c r="A8" t="s">
        <v>3</v>
      </c>
      <c r="D8">
        <v>4</v>
      </c>
      <c r="E8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8D5DF1-6F3E-4725-B6A2-CEB409E0C738}">
  <dimension ref="A1:N59"/>
  <sheetViews>
    <sheetView showGridLines="0" tabSelected="1" zoomScale="80" zoomScaleNormal="80" workbookViewId="0">
      <pane ySplit="1" topLeftCell="A2" activePane="bottomLeft" state="frozen"/>
      <selection pane="bottomLeft" activeCell="M5" sqref="M5"/>
    </sheetView>
  </sheetViews>
  <sheetFormatPr defaultRowHeight="15" x14ac:dyDescent="0.25"/>
  <cols>
    <col min="1" max="1" width="27.85546875" customWidth="1"/>
    <col min="2" max="2" width="12.7109375" customWidth="1"/>
    <col min="3" max="3" width="9.42578125" bestFit="1" customWidth="1"/>
    <col min="4" max="4" width="24.140625" bestFit="1" customWidth="1"/>
    <col min="5" max="5" width="16.28515625" bestFit="1" customWidth="1"/>
    <col min="6" max="13" width="15" customWidth="1"/>
    <col min="14" max="14" width="2.140625" customWidth="1"/>
  </cols>
  <sheetData>
    <row r="1" spans="1:14" ht="28.5" x14ac:dyDescent="0.45">
      <c r="A1" s="69" t="s">
        <v>859</v>
      </c>
      <c r="B1" s="86"/>
      <c r="C1" s="86"/>
      <c r="D1" s="86"/>
      <c r="E1" s="86"/>
      <c r="F1" s="86"/>
      <c r="G1" s="86"/>
      <c r="H1" s="86"/>
      <c r="I1" s="86"/>
      <c r="J1" s="86"/>
      <c r="K1" s="86"/>
      <c r="L1" s="86"/>
      <c r="M1" s="86"/>
      <c r="N1" s="86"/>
    </row>
    <row r="3" spans="1:14" s="13" customFormat="1" x14ac:dyDescent="0.25">
      <c r="A3" s="79" t="s">
        <v>879</v>
      </c>
      <c r="B3" s="84"/>
      <c r="D3" s="79" t="s">
        <v>873</v>
      </c>
      <c r="E3" s="80"/>
      <c r="F3" s="81"/>
      <c r="G3" s="79" t="s">
        <v>874</v>
      </c>
      <c r="H3" s="80"/>
      <c r="I3" s="81"/>
      <c r="J3" s="79" t="s">
        <v>875</v>
      </c>
      <c r="K3" s="80"/>
    </row>
    <row r="4" spans="1:14" ht="21" x14ac:dyDescent="0.35">
      <c r="A4" s="71">
        <f>SUM('RET WISE SALE'!BA2:BC2)</f>
        <v>86</v>
      </c>
      <c r="B4" s="70"/>
      <c r="D4" s="71">
        <f>'RET WISE SALE'!BA2</f>
        <v>34</v>
      </c>
      <c r="E4" s="70"/>
      <c r="G4" s="74">
        <f>'RET WISE SALE'!BB2</f>
        <v>8</v>
      </c>
      <c r="H4" s="75"/>
      <c r="J4" s="74">
        <f>'RET WISE SALE'!BC2</f>
        <v>44</v>
      </c>
      <c r="K4" s="75"/>
    </row>
    <row r="6" spans="1:14" s="81" customFormat="1" x14ac:dyDescent="0.25">
      <c r="A6" s="82" t="s">
        <v>861</v>
      </c>
      <c r="B6" s="83"/>
      <c r="C6" s="13"/>
      <c r="D6" s="82" t="s">
        <v>860</v>
      </c>
      <c r="E6" s="83"/>
      <c r="G6" s="79" t="s">
        <v>876</v>
      </c>
      <c r="H6" s="80"/>
      <c r="J6" s="79" t="s">
        <v>877</v>
      </c>
      <c r="K6" s="80"/>
    </row>
    <row r="7" spans="1:14" ht="21" x14ac:dyDescent="0.35">
      <c r="A7" s="74">
        <f>'RET WISE SALE'!BX2</f>
        <v>21000</v>
      </c>
      <c r="B7" s="75"/>
      <c r="D7" s="74">
        <f>SUM('Raw Sale'!AH2:AH1000)</f>
        <v>200668.03999999998</v>
      </c>
      <c r="E7" s="75"/>
      <c r="G7" s="71">
        <f>SUM('RET WISE SALE'!F2)</f>
        <v>103</v>
      </c>
      <c r="H7" s="70"/>
      <c r="J7" s="74">
        <f>'RET WISE SALE'!G2</f>
        <v>48</v>
      </c>
      <c r="K7" s="75"/>
    </row>
    <row r="10" spans="1:14" ht="15.75" x14ac:dyDescent="0.25">
      <c r="A10" s="85" t="s">
        <v>871</v>
      </c>
    </row>
    <row r="11" spans="1:14" x14ac:dyDescent="0.25">
      <c r="A11" s="68" t="s">
        <v>160</v>
      </c>
      <c r="B11" s="68" t="s">
        <v>865</v>
      </c>
      <c r="E11" s="9" t="s">
        <v>826</v>
      </c>
      <c r="F11" t="s">
        <v>866</v>
      </c>
    </row>
    <row r="12" spans="1:14" x14ac:dyDescent="0.25">
      <c r="A12" t="s">
        <v>177</v>
      </c>
      <c r="B12" s="73">
        <f>VLOOKUP($A12,'RET WISE SALE'!B:BX,74,0)</f>
        <v>11</v>
      </c>
      <c r="E12" s="45" t="s">
        <v>169</v>
      </c>
      <c r="F12" s="73">
        <v>1</v>
      </c>
    </row>
    <row r="13" spans="1:14" x14ac:dyDescent="0.25">
      <c r="A13" t="s">
        <v>167</v>
      </c>
      <c r="B13" s="73">
        <f>VLOOKUP($A13,'RET WISE SALE'!B:BX,74,0)</f>
        <v>5</v>
      </c>
      <c r="E13" s="45" t="s">
        <v>165</v>
      </c>
      <c r="F13" s="73">
        <v>1</v>
      </c>
    </row>
    <row r="14" spans="1:14" x14ac:dyDescent="0.25">
      <c r="A14" t="s">
        <v>166</v>
      </c>
      <c r="B14" s="73">
        <f>VLOOKUP($A14,'RET WISE SALE'!B:BX,74,0)</f>
        <v>4</v>
      </c>
      <c r="E14" s="45" t="s">
        <v>171</v>
      </c>
      <c r="F14" s="73">
        <v>1</v>
      </c>
    </row>
    <row r="15" spans="1:14" x14ac:dyDescent="0.25">
      <c r="A15" t="s">
        <v>174</v>
      </c>
      <c r="B15" s="73">
        <f>VLOOKUP($A15,'RET WISE SALE'!B:BX,74,0)</f>
        <v>3</v>
      </c>
      <c r="E15" s="45" t="s">
        <v>175</v>
      </c>
      <c r="F15" s="73">
        <v>1</v>
      </c>
    </row>
    <row r="16" spans="1:14" x14ac:dyDescent="0.25">
      <c r="A16" t="s">
        <v>179</v>
      </c>
      <c r="B16" s="73">
        <f>VLOOKUP($A16,'RET WISE SALE'!B:BX,74,0)</f>
        <v>3</v>
      </c>
      <c r="E16" s="45" t="s">
        <v>178</v>
      </c>
      <c r="F16" s="73">
        <v>1</v>
      </c>
    </row>
    <row r="17" spans="1:12" x14ac:dyDescent="0.25">
      <c r="A17" t="s">
        <v>163</v>
      </c>
      <c r="B17" s="73">
        <f>VLOOKUP($A17,'RET WISE SALE'!B:BX,74,0)</f>
        <v>2</v>
      </c>
      <c r="E17" s="45" t="s">
        <v>173</v>
      </c>
      <c r="F17" s="73">
        <v>1</v>
      </c>
    </row>
    <row r="18" spans="1:12" x14ac:dyDescent="0.25">
      <c r="A18" t="s">
        <v>162</v>
      </c>
      <c r="B18" s="73">
        <f>VLOOKUP($A18,'RET WISE SALE'!B:BX,74,0)</f>
        <v>2</v>
      </c>
      <c r="E18" s="45" t="s">
        <v>176</v>
      </c>
      <c r="F18" s="73">
        <v>1</v>
      </c>
    </row>
    <row r="19" spans="1:12" x14ac:dyDescent="0.25">
      <c r="A19" t="s">
        <v>169</v>
      </c>
      <c r="B19" s="73">
        <f>VLOOKUP($A19,'RET WISE SALE'!B:BX,74,0)</f>
        <v>1</v>
      </c>
      <c r="E19" s="45" t="s">
        <v>164</v>
      </c>
      <c r="F19" s="73">
        <v>1</v>
      </c>
    </row>
    <row r="20" spans="1:12" x14ac:dyDescent="0.25">
      <c r="A20" t="s">
        <v>170</v>
      </c>
      <c r="B20" s="73">
        <f>VLOOKUP($A20,'RET WISE SALE'!B:BX,74,0)</f>
        <v>1</v>
      </c>
      <c r="E20" s="45" t="s">
        <v>170</v>
      </c>
      <c r="F20" s="73">
        <v>1</v>
      </c>
    </row>
    <row r="21" spans="1:12" x14ac:dyDescent="0.25">
      <c r="A21" t="s">
        <v>171</v>
      </c>
      <c r="B21" s="73">
        <f>VLOOKUP($A21,'RET WISE SALE'!B:BX,74,0)</f>
        <v>1</v>
      </c>
      <c r="E21" s="45" t="s">
        <v>163</v>
      </c>
      <c r="F21" s="73">
        <v>2</v>
      </c>
    </row>
    <row r="22" spans="1:12" x14ac:dyDescent="0.25">
      <c r="A22" t="s">
        <v>172</v>
      </c>
      <c r="B22" s="73">
        <f>VLOOKUP($A22,'RET WISE SALE'!B:BX,74,0)</f>
        <v>3</v>
      </c>
      <c r="E22" s="45" t="s">
        <v>162</v>
      </c>
      <c r="F22" s="73">
        <v>2</v>
      </c>
    </row>
    <row r="23" spans="1:12" x14ac:dyDescent="0.25">
      <c r="A23" t="s">
        <v>173</v>
      </c>
      <c r="B23" s="73">
        <f>VLOOKUP($A23,'RET WISE SALE'!B:BX,74,0)</f>
        <v>1</v>
      </c>
      <c r="E23" s="45" t="s">
        <v>172</v>
      </c>
      <c r="F23" s="73">
        <v>3</v>
      </c>
    </row>
    <row r="24" spans="1:12" x14ac:dyDescent="0.25">
      <c r="A24" t="s">
        <v>164</v>
      </c>
      <c r="B24" s="73">
        <f>VLOOKUP($A24,'RET WISE SALE'!B:BX,74,0)</f>
        <v>1</v>
      </c>
      <c r="E24" s="45" t="s">
        <v>179</v>
      </c>
      <c r="F24" s="73">
        <v>3</v>
      </c>
    </row>
    <row r="25" spans="1:12" x14ac:dyDescent="0.25">
      <c r="A25" t="s">
        <v>165</v>
      </c>
      <c r="B25" s="73">
        <f>VLOOKUP($A25,'RET WISE SALE'!B:BX,74,0)</f>
        <v>1</v>
      </c>
      <c r="E25" s="45" t="s">
        <v>174</v>
      </c>
      <c r="F25" s="73">
        <v>3</v>
      </c>
    </row>
    <row r="26" spans="1:12" x14ac:dyDescent="0.25">
      <c r="A26" t="s">
        <v>175</v>
      </c>
      <c r="B26" s="73">
        <f>VLOOKUP($A26,'RET WISE SALE'!B:BX,74,0)</f>
        <v>1</v>
      </c>
      <c r="E26" s="45" t="s">
        <v>166</v>
      </c>
      <c r="F26" s="73">
        <v>4</v>
      </c>
    </row>
    <row r="27" spans="1:12" ht="18.75" x14ac:dyDescent="0.3">
      <c r="A27" t="s">
        <v>176</v>
      </c>
      <c r="B27" s="73">
        <f>VLOOKUP($A27,'RET WISE SALE'!B:BX,74,0)</f>
        <v>1</v>
      </c>
      <c r="E27" s="45" t="s">
        <v>167</v>
      </c>
      <c r="F27" s="73">
        <v>5</v>
      </c>
      <c r="J27" s="72" t="s">
        <v>862</v>
      </c>
    </row>
    <row r="28" spans="1:12" x14ac:dyDescent="0.25">
      <c r="A28" t="s">
        <v>178</v>
      </c>
      <c r="B28" s="73">
        <f>VLOOKUP($A28,'RET WISE SALE'!B:BX,74,0)</f>
        <v>1</v>
      </c>
      <c r="E28" s="45" t="s">
        <v>177</v>
      </c>
      <c r="F28" s="73">
        <v>11</v>
      </c>
      <c r="J28" s="68" t="s">
        <v>864</v>
      </c>
      <c r="K28" s="68" t="s">
        <v>868</v>
      </c>
      <c r="L28" s="68" t="s">
        <v>869</v>
      </c>
    </row>
    <row r="29" spans="1:12" x14ac:dyDescent="0.25">
      <c r="A29" t="s">
        <v>161</v>
      </c>
      <c r="B29" s="73">
        <f>VLOOKUP($A29,'RET WISE SALE'!B:BX,74,0)</f>
        <v>0</v>
      </c>
      <c r="E29" s="45" t="s">
        <v>3</v>
      </c>
      <c r="F29" s="73">
        <v>42</v>
      </c>
      <c r="J29" t="s">
        <v>1</v>
      </c>
      <c r="K29" s="73">
        <v>34</v>
      </c>
      <c r="L29" s="78">
        <f>$K29/($K$29+$K$30+$K$31)</f>
        <v>0.39534883720930231</v>
      </c>
    </row>
    <row r="30" spans="1:12" x14ac:dyDescent="0.25">
      <c r="A30" t="s">
        <v>168</v>
      </c>
      <c r="B30" s="73">
        <f>VLOOKUP($A30,'RET WISE SALE'!B:BX,74,0)</f>
        <v>0</v>
      </c>
      <c r="J30" t="s">
        <v>2</v>
      </c>
      <c r="K30" s="73">
        <v>8</v>
      </c>
      <c r="L30" s="78">
        <f>$K30/($K$29+$K$30+$K$31)</f>
        <v>9.3023255813953487E-2</v>
      </c>
    </row>
    <row r="31" spans="1:12" x14ac:dyDescent="0.25">
      <c r="A31" t="s">
        <v>547</v>
      </c>
      <c r="B31" s="73">
        <f>VLOOKUP($A31,'RET WISE SALE'!B:BX,74,0)</f>
        <v>0</v>
      </c>
      <c r="J31" t="s">
        <v>870</v>
      </c>
      <c r="K31" s="73">
        <v>44</v>
      </c>
      <c r="L31" s="78">
        <f>$K31/($K$29+$K$30+$K$31)</f>
        <v>0.51162790697674421</v>
      </c>
    </row>
    <row r="32" spans="1:12" x14ac:dyDescent="0.25">
      <c r="A32" t="s">
        <v>457</v>
      </c>
      <c r="B32" s="73">
        <f>VLOOKUP($A32,'RET WISE SALE'!B:BX,74,0)</f>
        <v>0</v>
      </c>
    </row>
    <row r="48" spans="1:1" ht="18.75" x14ac:dyDescent="0.3">
      <c r="A48" s="72" t="s">
        <v>878</v>
      </c>
    </row>
    <row r="49" spans="1:6" x14ac:dyDescent="0.25">
      <c r="A49" s="68" t="s">
        <v>734</v>
      </c>
      <c r="B49" s="68" t="s">
        <v>865</v>
      </c>
      <c r="C49" s="68" t="s">
        <v>863</v>
      </c>
    </row>
    <row r="50" spans="1:6" x14ac:dyDescent="0.25">
      <c r="A50" s="67">
        <v>46054</v>
      </c>
      <c r="B50" s="73">
        <f>SUM('RET WISE SALE'!I2:J2)</f>
        <v>1</v>
      </c>
      <c r="C50" s="73">
        <f>B50*500</f>
        <v>500</v>
      </c>
    </row>
    <row r="51" spans="1:6" x14ac:dyDescent="0.25">
      <c r="A51" s="67">
        <v>46082</v>
      </c>
      <c r="B51" s="73">
        <f>SUM('RET WISE SALE'!M2:N2)</f>
        <v>4</v>
      </c>
      <c r="C51" s="73">
        <f t="shared" ref="C51:C56" si="0">B51*500</f>
        <v>2000</v>
      </c>
      <c r="E51" s="9" t="s">
        <v>826</v>
      </c>
      <c r="F51" t="s">
        <v>867</v>
      </c>
    </row>
    <row r="52" spans="1:6" x14ac:dyDescent="0.25">
      <c r="A52" s="67">
        <v>46113</v>
      </c>
      <c r="B52" s="73">
        <f>SUM('RET WISE SALE'!Q2:R2)</f>
        <v>9</v>
      </c>
      <c r="C52" s="73">
        <f t="shared" si="0"/>
        <v>4500</v>
      </c>
      <c r="E52" s="45" t="s">
        <v>827</v>
      </c>
      <c r="F52" s="46">
        <v>1</v>
      </c>
    </row>
    <row r="53" spans="1:6" x14ac:dyDescent="0.25">
      <c r="A53" s="67">
        <v>46143</v>
      </c>
      <c r="B53" s="73">
        <f>SUM('RET WISE SALE'!U2:V2)</f>
        <v>6</v>
      </c>
      <c r="C53" s="73">
        <f t="shared" si="0"/>
        <v>3000</v>
      </c>
      <c r="E53" s="45" t="s">
        <v>828</v>
      </c>
      <c r="F53" s="46">
        <v>4</v>
      </c>
    </row>
    <row r="54" spans="1:6" x14ac:dyDescent="0.25">
      <c r="A54" s="67">
        <v>46174</v>
      </c>
      <c r="B54" s="73">
        <f>SUM('RET WISE SALE'!Y2:Z2)</f>
        <v>15</v>
      </c>
      <c r="C54" s="73">
        <f t="shared" si="0"/>
        <v>7500</v>
      </c>
      <c r="E54" s="45" t="s">
        <v>829</v>
      </c>
      <c r="F54" s="46">
        <v>9</v>
      </c>
    </row>
    <row r="55" spans="1:6" x14ac:dyDescent="0.25">
      <c r="A55" s="67">
        <v>46204</v>
      </c>
      <c r="B55" s="73">
        <f>SUM('RET WISE SALE'!AC2:AD2)</f>
        <v>7</v>
      </c>
      <c r="C55" s="73">
        <f t="shared" si="0"/>
        <v>3500</v>
      </c>
      <c r="E55" s="45" t="s">
        <v>830</v>
      </c>
      <c r="F55" s="46">
        <v>6</v>
      </c>
    </row>
    <row r="56" spans="1:6" x14ac:dyDescent="0.25">
      <c r="A56" s="67">
        <v>46235</v>
      </c>
      <c r="B56">
        <f>SUM('RET WISE SALE'!AG2:AH2)</f>
        <v>0</v>
      </c>
      <c r="C56" s="73">
        <f t="shared" si="0"/>
        <v>0</v>
      </c>
      <c r="E56" s="45" t="s">
        <v>831</v>
      </c>
      <c r="F56" s="46">
        <v>15</v>
      </c>
    </row>
    <row r="57" spans="1:6" x14ac:dyDescent="0.25">
      <c r="E57" s="45" t="s">
        <v>832</v>
      </c>
      <c r="F57" s="46">
        <v>7</v>
      </c>
    </row>
    <row r="58" spans="1:6" x14ac:dyDescent="0.25">
      <c r="E58" s="45" t="s">
        <v>858</v>
      </c>
      <c r="F58" s="46">
        <v>0</v>
      </c>
    </row>
    <row r="59" spans="1:6" x14ac:dyDescent="0.25">
      <c r="E59" s="45" t="s">
        <v>3</v>
      </c>
      <c r="F59" s="46">
        <v>42</v>
      </c>
    </row>
  </sheetData>
  <mergeCells count="17">
    <mergeCell ref="J4:K4"/>
    <mergeCell ref="G4:H4"/>
    <mergeCell ref="J3:K3"/>
    <mergeCell ref="G3:H3"/>
    <mergeCell ref="G6:H6"/>
    <mergeCell ref="G7:H7"/>
    <mergeCell ref="J6:K6"/>
    <mergeCell ref="J7:K7"/>
    <mergeCell ref="D3:E3"/>
    <mergeCell ref="D4:E4"/>
    <mergeCell ref="A1:N1"/>
    <mergeCell ref="A3:B3"/>
    <mergeCell ref="A6:B6"/>
    <mergeCell ref="D6:E6"/>
    <mergeCell ref="A4:B4"/>
    <mergeCell ref="A7:B7"/>
    <mergeCell ref="D7:E7"/>
  </mergeCells>
  <pageMargins left="0.7" right="0.7" top="0.75" bottom="0.75" header="0.3" footer="0.3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9D712E-DD1C-4E18-8196-51117376B78D}">
  <dimension ref="A2:BX25"/>
  <sheetViews>
    <sheetView showGridLines="0" zoomScale="80" zoomScaleNormal="80" workbookViewId="0">
      <pane xSplit="5" ySplit="4" topLeftCell="F5" activePane="bottomRight" state="frozen"/>
      <selection pane="topRight" activeCell="G1" sqref="G1"/>
      <selection pane="bottomLeft" activeCell="A4" sqref="A4"/>
      <selection pane="bottomRight" activeCell="J17" sqref="J17"/>
    </sheetView>
  </sheetViews>
  <sheetFormatPr defaultRowHeight="15" x14ac:dyDescent="0.25"/>
  <cols>
    <col min="1" max="1" width="7" customWidth="1"/>
    <col min="2" max="2" width="19.42578125" customWidth="1"/>
    <col min="3" max="3" width="11.28515625" customWidth="1"/>
    <col min="4" max="4" width="10.42578125" bestFit="1" customWidth="1"/>
    <col min="5" max="5" width="1.28515625" customWidth="1"/>
    <col min="6" max="6" width="7" bestFit="1" customWidth="1"/>
    <col min="7" max="7" width="9.85546875" customWidth="1"/>
    <col min="8" max="8" width="1.28515625" customWidth="1"/>
    <col min="9" max="9" width="6.28515625" customWidth="1"/>
    <col min="10" max="10" width="7.42578125" customWidth="1"/>
    <col min="11" max="11" width="4.5703125" bestFit="1" customWidth="1"/>
    <col min="12" max="12" width="1.28515625" customWidth="1"/>
    <col min="13" max="13" width="6.140625" customWidth="1"/>
    <col min="14" max="14" width="7.7109375" customWidth="1"/>
    <col min="15" max="15" width="5" customWidth="1"/>
    <col min="16" max="16" width="1.28515625" customWidth="1"/>
    <col min="17" max="17" width="5.7109375" customWidth="1"/>
    <col min="18" max="18" width="6.5703125" customWidth="1"/>
    <col min="19" max="19" width="5" customWidth="1"/>
    <col min="20" max="20" width="1.28515625" customWidth="1"/>
    <col min="21" max="22" width="7.140625" customWidth="1"/>
    <col min="23" max="23" width="5" customWidth="1"/>
    <col min="24" max="24" width="1.28515625" customWidth="1"/>
    <col min="25" max="26" width="7" customWidth="1"/>
    <col min="27" max="27" width="5.140625" customWidth="1"/>
    <col min="28" max="28" width="1.28515625" customWidth="1"/>
    <col min="29" max="30" width="6.5703125" customWidth="1"/>
    <col min="31" max="31" width="4.42578125" customWidth="1"/>
    <col min="32" max="32" width="1.28515625" customWidth="1"/>
    <col min="33" max="34" width="6.42578125" customWidth="1"/>
    <col min="35" max="35" width="4.85546875" customWidth="1"/>
    <col min="36" max="36" width="1.28515625" customWidth="1"/>
    <col min="37" max="39" width="0" hidden="1" customWidth="1"/>
    <col min="40" max="40" width="1.28515625" hidden="1" customWidth="1"/>
    <col min="41" max="43" width="0" hidden="1" customWidth="1"/>
    <col min="44" max="44" width="1.28515625" hidden="1" customWidth="1"/>
    <col min="45" max="47" width="0" hidden="1" customWidth="1"/>
    <col min="48" max="48" width="1.28515625" hidden="1" customWidth="1"/>
    <col min="49" max="51" width="0" hidden="1" customWidth="1"/>
    <col min="52" max="52" width="1.28515625" hidden="1" customWidth="1"/>
    <col min="53" max="54" width="6.42578125" customWidth="1"/>
    <col min="55" max="55" width="4.42578125" customWidth="1"/>
    <col min="56" max="56" width="1.28515625" customWidth="1"/>
    <col min="57" max="59" width="0" hidden="1" customWidth="1"/>
    <col min="60" max="60" width="1.28515625" hidden="1" customWidth="1"/>
    <col min="61" max="63" width="0" hidden="1" customWidth="1"/>
    <col min="64" max="64" width="1.28515625" hidden="1" customWidth="1"/>
    <col min="65" max="67" width="0" hidden="1" customWidth="1"/>
    <col min="68" max="68" width="1.28515625" hidden="1" customWidth="1"/>
    <col min="69" max="71" width="0" hidden="1" customWidth="1"/>
    <col min="72" max="72" width="1.28515625" hidden="1" customWidth="1"/>
    <col min="73" max="73" width="10.28515625" bestFit="1" customWidth="1"/>
    <col min="74" max="74" width="1.28515625" customWidth="1"/>
    <col min="75" max="75" width="12.7109375" customWidth="1"/>
    <col min="76" max="76" width="11.140625" customWidth="1"/>
    <col min="78" max="78" width="14.140625" bestFit="1" customWidth="1"/>
    <col min="79" max="79" width="15.42578125" bestFit="1" customWidth="1"/>
    <col min="80" max="80" width="14.140625" bestFit="1" customWidth="1"/>
    <col min="81" max="81" width="15.42578125" bestFit="1" customWidth="1"/>
    <col min="82" max="82" width="14.140625" bestFit="1" customWidth="1"/>
    <col min="83" max="83" width="15.42578125" bestFit="1" customWidth="1"/>
    <col min="84" max="84" width="19.140625" bestFit="1" customWidth="1"/>
    <col min="85" max="85" width="20.42578125" bestFit="1" customWidth="1"/>
    <col min="86" max="86" width="11.28515625" bestFit="1" customWidth="1"/>
    <col min="87" max="87" width="7" bestFit="1" customWidth="1"/>
    <col min="88" max="88" width="3.85546875" bestFit="1" customWidth="1"/>
    <col min="89" max="90" width="7" bestFit="1" customWidth="1"/>
    <col min="91" max="91" width="3.85546875" bestFit="1" customWidth="1"/>
    <col min="92" max="93" width="7" bestFit="1" customWidth="1"/>
    <col min="94" max="94" width="11.28515625" bestFit="1" customWidth="1"/>
  </cols>
  <sheetData>
    <row r="2" spans="1:76" ht="16.5" thickBot="1" x14ac:dyDescent="0.3">
      <c r="A2" s="57" t="s">
        <v>158</v>
      </c>
      <c r="E2" s="47" t="s">
        <v>144</v>
      </c>
      <c r="F2" s="13">
        <f>SUBTOTAL(9,F5:F25)</f>
        <v>103</v>
      </c>
      <c r="G2" s="13">
        <f>SUBTOTAL(9,G5:G25)</f>
        <v>48</v>
      </c>
      <c r="H2" s="47" t="s">
        <v>144</v>
      </c>
      <c r="I2" s="13">
        <f t="shared" ref="I2:K2" si="0">SUBTOTAL(9,I5:I25)</f>
        <v>1</v>
      </c>
      <c r="J2" s="13">
        <f t="shared" si="0"/>
        <v>0</v>
      </c>
      <c r="K2" s="13">
        <f t="shared" si="0"/>
        <v>0</v>
      </c>
      <c r="L2" s="47" t="s">
        <v>144</v>
      </c>
      <c r="M2" s="13">
        <f t="shared" ref="M2:O2" si="1">SUBTOTAL(9,M5:M25)</f>
        <v>3</v>
      </c>
      <c r="N2" s="13">
        <f t="shared" si="1"/>
        <v>1</v>
      </c>
      <c r="O2" s="13">
        <f t="shared" si="1"/>
        <v>2</v>
      </c>
      <c r="P2" s="47" t="s">
        <v>144</v>
      </c>
      <c r="Q2" s="13">
        <f t="shared" ref="Q2:S2" si="2">SUBTOTAL(9,Q5:Q25)</f>
        <v>7</v>
      </c>
      <c r="R2" s="13">
        <f t="shared" si="2"/>
        <v>2</v>
      </c>
      <c r="S2" s="13">
        <f t="shared" si="2"/>
        <v>10</v>
      </c>
      <c r="T2" s="47" t="s">
        <v>144</v>
      </c>
      <c r="U2" s="13">
        <f t="shared" ref="U2:W2" si="3">SUBTOTAL(9,U5:U25)</f>
        <v>5</v>
      </c>
      <c r="V2" s="13">
        <f t="shared" si="3"/>
        <v>1</v>
      </c>
      <c r="W2" s="13">
        <f t="shared" si="3"/>
        <v>10</v>
      </c>
      <c r="X2" s="47" t="s">
        <v>144</v>
      </c>
      <c r="Y2" s="13">
        <f t="shared" ref="Y2:AA2" si="4">SUBTOTAL(9,Y5:Y25)</f>
        <v>9</v>
      </c>
      <c r="Z2" s="13">
        <f t="shared" si="4"/>
        <v>6</v>
      </c>
      <c r="AA2" s="13">
        <f t="shared" si="4"/>
        <v>10</v>
      </c>
      <c r="AB2" s="47" t="s">
        <v>144</v>
      </c>
      <c r="AC2" s="13">
        <f t="shared" ref="AC2:AD2" si="5">SUBTOTAL(9,AC5:AC25)</f>
        <v>7</v>
      </c>
      <c r="AD2" s="13">
        <f t="shared" si="5"/>
        <v>0</v>
      </c>
      <c r="AE2" s="13">
        <f>SUBTOTAL(9,AE5:AE25)</f>
        <v>8</v>
      </c>
      <c r="AF2" s="47" t="s">
        <v>144</v>
      </c>
      <c r="AG2" s="13">
        <f t="shared" ref="AG2:AI2" si="6">SUBTOTAL(9,AG5:AG25)</f>
        <v>2</v>
      </c>
      <c r="AH2" s="13">
        <f t="shared" si="6"/>
        <v>-2</v>
      </c>
      <c r="AI2" s="13">
        <f t="shared" si="6"/>
        <v>4</v>
      </c>
      <c r="AJ2" s="47" t="s">
        <v>144</v>
      </c>
      <c r="AK2" s="13">
        <f t="shared" ref="AK2:AM2" si="7">SUBTOTAL(9,AK5:AK25)</f>
        <v>0</v>
      </c>
      <c r="AL2" s="13">
        <f t="shared" si="7"/>
        <v>0</v>
      </c>
      <c r="AM2" s="13">
        <f t="shared" si="7"/>
        <v>0</v>
      </c>
      <c r="AN2" s="47" t="s">
        <v>144</v>
      </c>
      <c r="AO2" s="13">
        <f t="shared" ref="AO2:AQ2" si="8">SUBTOTAL(9,AO5:AO25)</f>
        <v>0</v>
      </c>
      <c r="AP2" s="13">
        <f t="shared" si="8"/>
        <v>0</v>
      </c>
      <c r="AQ2" s="13">
        <f t="shared" si="8"/>
        <v>0</v>
      </c>
      <c r="AR2" s="47" t="s">
        <v>144</v>
      </c>
      <c r="AS2" s="13">
        <f t="shared" ref="AS2:AU2" si="9">SUBTOTAL(9,AS5:AS25)</f>
        <v>0</v>
      </c>
      <c r="AT2" s="13">
        <f t="shared" si="9"/>
        <v>0</v>
      </c>
      <c r="AU2" s="13">
        <f t="shared" si="9"/>
        <v>0</v>
      </c>
      <c r="AV2" s="47" t="s">
        <v>144</v>
      </c>
      <c r="AW2" s="13">
        <f t="shared" ref="AW2:AY2" si="10">SUBTOTAL(9,AW5:AW25)</f>
        <v>0</v>
      </c>
      <c r="AX2" s="13">
        <f t="shared" si="10"/>
        <v>0</v>
      </c>
      <c r="AY2" s="13">
        <f t="shared" si="10"/>
        <v>0</v>
      </c>
      <c r="AZ2" s="47" t="s">
        <v>144</v>
      </c>
      <c r="BA2" s="13">
        <f t="shared" ref="BA2:BC2" si="11">SUBTOTAL(9,BA5:BA25)</f>
        <v>34</v>
      </c>
      <c r="BB2" s="13">
        <f t="shared" si="11"/>
        <v>8</v>
      </c>
      <c r="BC2" s="13">
        <f t="shared" si="11"/>
        <v>44</v>
      </c>
      <c r="BD2" s="47" t="s">
        <v>144</v>
      </c>
      <c r="BE2" s="13">
        <f t="shared" ref="BE2:BG2" si="12">SUBTOTAL(9,BE5:BE25)</f>
        <v>0</v>
      </c>
      <c r="BF2" s="13">
        <f t="shared" si="12"/>
        <v>0</v>
      </c>
      <c r="BG2" s="13">
        <f t="shared" si="12"/>
        <v>0</v>
      </c>
      <c r="BH2" s="47" t="s">
        <v>144</v>
      </c>
      <c r="BI2" s="13">
        <f t="shared" ref="BI2:BK2" si="13">SUBTOTAL(9,BI5:BI25)</f>
        <v>0</v>
      </c>
      <c r="BJ2" s="13">
        <f t="shared" si="13"/>
        <v>0</v>
      </c>
      <c r="BK2" s="13">
        <f t="shared" si="13"/>
        <v>0</v>
      </c>
      <c r="BL2" s="47" t="s">
        <v>144</v>
      </c>
      <c r="BM2" s="13">
        <f t="shared" ref="BM2:BO2" si="14">SUBTOTAL(9,BM5:BM25)</f>
        <v>0</v>
      </c>
      <c r="BN2" s="13">
        <f t="shared" si="14"/>
        <v>0</v>
      </c>
      <c r="BO2" s="13">
        <f t="shared" si="14"/>
        <v>0</v>
      </c>
      <c r="BP2" s="47" t="s">
        <v>144</v>
      </c>
      <c r="BQ2" s="13">
        <f t="shared" ref="BQ2:BS2" si="15">SUBTOTAL(9,BQ5:BQ25)</f>
        <v>0</v>
      </c>
      <c r="BR2" s="13">
        <f t="shared" si="15"/>
        <v>0</v>
      </c>
      <c r="BS2" s="13">
        <f t="shared" si="15"/>
        <v>0</v>
      </c>
      <c r="BT2" s="47" t="s">
        <v>144</v>
      </c>
      <c r="BV2" s="47" t="s">
        <v>144</v>
      </c>
      <c r="BW2" s="13">
        <f t="shared" ref="BW2:BX2" si="16">SUBTOTAL(9,BW5:BW25)</f>
        <v>42</v>
      </c>
      <c r="BX2" s="50">
        <f t="shared" si="16"/>
        <v>21000</v>
      </c>
    </row>
    <row r="3" spans="1:76" s="58" customFormat="1" ht="16.5" thickBot="1" x14ac:dyDescent="0.3">
      <c r="E3" s="59" t="s">
        <v>144</v>
      </c>
      <c r="F3" s="60" t="s">
        <v>145</v>
      </c>
      <c r="G3" s="61"/>
      <c r="H3" s="59" t="s">
        <v>144</v>
      </c>
      <c r="I3" s="62">
        <v>46054</v>
      </c>
      <c r="J3" s="63"/>
      <c r="K3" s="64"/>
      <c r="L3" s="59" t="s">
        <v>144</v>
      </c>
      <c r="M3" s="65">
        <v>46082</v>
      </c>
      <c r="N3" s="65"/>
      <c r="O3" s="66"/>
      <c r="P3" s="59" t="s">
        <v>144</v>
      </c>
      <c r="Q3" s="62">
        <v>46113</v>
      </c>
      <c r="R3" s="63"/>
      <c r="S3" s="64"/>
      <c r="T3" s="59" t="s">
        <v>144</v>
      </c>
      <c r="U3" s="62">
        <v>46143</v>
      </c>
      <c r="V3" s="63"/>
      <c r="W3" s="64"/>
      <c r="X3" s="59" t="s">
        <v>144</v>
      </c>
      <c r="Y3" s="62">
        <v>46174</v>
      </c>
      <c r="Z3" s="63"/>
      <c r="AA3" s="64"/>
      <c r="AB3" s="59" t="s">
        <v>144</v>
      </c>
      <c r="AC3" s="62">
        <v>46204</v>
      </c>
      <c r="AD3" s="63"/>
      <c r="AE3" s="64"/>
      <c r="AF3" s="59" t="s">
        <v>144</v>
      </c>
      <c r="AG3" s="62">
        <v>46235</v>
      </c>
      <c r="AH3" s="63"/>
      <c r="AI3" s="64"/>
      <c r="AJ3" s="59" t="s">
        <v>144</v>
      </c>
      <c r="AK3" s="62">
        <v>46266</v>
      </c>
      <c r="AL3" s="63"/>
      <c r="AM3" s="64"/>
      <c r="AN3" s="59" t="s">
        <v>144</v>
      </c>
      <c r="AO3" s="62">
        <v>46296</v>
      </c>
      <c r="AP3" s="63"/>
      <c r="AQ3" s="64"/>
      <c r="AR3" s="59" t="s">
        <v>144</v>
      </c>
      <c r="AS3" s="62">
        <v>46327</v>
      </c>
      <c r="AT3" s="63"/>
      <c r="AU3" s="64"/>
      <c r="AV3" s="59" t="s">
        <v>144</v>
      </c>
      <c r="AW3" s="62">
        <v>46357</v>
      </c>
      <c r="AX3" s="63"/>
      <c r="AY3" s="64"/>
      <c r="AZ3" s="59" t="s">
        <v>144</v>
      </c>
      <c r="BA3" s="62" t="s">
        <v>852</v>
      </c>
      <c r="BB3" s="63"/>
      <c r="BC3" s="64"/>
      <c r="BD3" s="59" t="s">
        <v>144</v>
      </c>
      <c r="BE3" s="62">
        <v>46266</v>
      </c>
      <c r="BF3" s="63"/>
      <c r="BG3" s="64"/>
      <c r="BH3" s="59" t="s">
        <v>144</v>
      </c>
      <c r="BI3" s="62">
        <v>46296</v>
      </c>
      <c r="BJ3" s="63"/>
      <c r="BK3" s="64"/>
      <c r="BL3" s="59" t="s">
        <v>144</v>
      </c>
      <c r="BM3" s="62">
        <v>46327</v>
      </c>
      <c r="BN3" s="63"/>
      <c r="BO3" s="64"/>
      <c r="BP3" s="59" t="s">
        <v>144</v>
      </c>
      <c r="BQ3" s="62">
        <v>46357</v>
      </c>
      <c r="BR3" s="63"/>
      <c r="BS3" s="64"/>
      <c r="BT3" s="59" t="s">
        <v>144</v>
      </c>
      <c r="BU3" s="77" t="s">
        <v>852</v>
      </c>
      <c r="BV3" s="59" t="s">
        <v>144</v>
      </c>
      <c r="BW3" s="62" t="s">
        <v>853</v>
      </c>
      <c r="BX3" s="64"/>
    </row>
    <row r="4" spans="1:76" s="56" customFormat="1" ht="50.25" customHeight="1" x14ac:dyDescent="0.25">
      <c r="A4" s="51" t="s">
        <v>4</v>
      </c>
      <c r="B4" s="51" t="s">
        <v>160</v>
      </c>
      <c r="C4" s="51" t="s">
        <v>159</v>
      </c>
      <c r="D4" s="51" t="s">
        <v>143</v>
      </c>
      <c r="E4" s="52" t="s">
        <v>144</v>
      </c>
      <c r="F4" s="11" t="s">
        <v>1</v>
      </c>
      <c r="G4" s="12" t="s">
        <v>2</v>
      </c>
      <c r="H4" s="52" t="s">
        <v>144</v>
      </c>
      <c r="I4" s="53" t="s">
        <v>813</v>
      </c>
      <c r="J4" s="54" t="s">
        <v>825</v>
      </c>
      <c r="K4" s="55" t="s">
        <v>736</v>
      </c>
      <c r="L4" s="52" t="s">
        <v>144</v>
      </c>
      <c r="M4" s="53" t="s">
        <v>813</v>
      </c>
      <c r="N4" s="54" t="s">
        <v>825</v>
      </c>
      <c r="O4" s="55" t="s">
        <v>736</v>
      </c>
      <c r="P4" s="52" t="s">
        <v>144</v>
      </c>
      <c r="Q4" s="53" t="s">
        <v>813</v>
      </c>
      <c r="R4" s="54" t="s">
        <v>825</v>
      </c>
      <c r="S4" s="55" t="s">
        <v>736</v>
      </c>
      <c r="T4" s="52" t="s">
        <v>144</v>
      </c>
      <c r="U4" s="53" t="s">
        <v>813</v>
      </c>
      <c r="V4" s="54" t="s">
        <v>825</v>
      </c>
      <c r="W4" s="55" t="s">
        <v>736</v>
      </c>
      <c r="X4" s="52" t="s">
        <v>144</v>
      </c>
      <c r="Y4" s="53" t="s">
        <v>813</v>
      </c>
      <c r="Z4" s="54" t="s">
        <v>825</v>
      </c>
      <c r="AA4" s="55" t="s">
        <v>736</v>
      </c>
      <c r="AB4" s="52" t="s">
        <v>144</v>
      </c>
      <c r="AC4" s="53" t="s">
        <v>813</v>
      </c>
      <c r="AD4" s="54" t="s">
        <v>825</v>
      </c>
      <c r="AE4" s="55" t="s">
        <v>736</v>
      </c>
      <c r="AF4" s="52" t="s">
        <v>144</v>
      </c>
      <c r="AG4" s="53" t="s">
        <v>813</v>
      </c>
      <c r="AH4" s="54" t="s">
        <v>825</v>
      </c>
      <c r="AI4" s="55" t="s">
        <v>736</v>
      </c>
      <c r="AJ4" s="52" t="s">
        <v>144</v>
      </c>
      <c r="AK4" s="53" t="s">
        <v>813</v>
      </c>
      <c r="AL4" s="54" t="s">
        <v>825</v>
      </c>
      <c r="AM4" s="55" t="s">
        <v>736</v>
      </c>
      <c r="AN4" s="52" t="s">
        <v>144</v>
      </c>
      <c r="AO4" s="53" t="s">
        <v>813</v>
      </c>
      <c r="AP4" s="54" t="s">
        <v>825</v>
      </c>
      <c r="AQ4" s="55" t="s">
        <v>736</v>
      </c>
      <c r="AR4" s="52" t="s">
        <v>144</v>
      </c>
      <c r="AS4" s="53" t="s">
        <v>813</v>
      </c>
      <c r="AT4" s="54" t="s">
        <v>825</v>
      </c>
      <c r="AU4" s="55" t="s">
        <v>736</v>
      </c>
      <c r="AV4" s="52" t="s">
        <v>144</v>
      </c>
      <c r="AW4" s="53" t="s">
        <v>813</v>
      </c>
      <c r="AX4" s="54" t="s">
        <v>825</v>
      </c>
      <c r="AY4" s="55" t="s">
        <v>736</v>
      </c>
      <c r="AZ4" s="52" t="s">
        <v>144</v>
      </c>
      <c r="BA4" s="53" t="s">
        <v>813</v>
      </c>
      <c r="BB4" s="54" t="s">
        <v>825</v>
      </c>
      <c r="BC4" s="55" t="s">
        <v>736</v>
      </c>
      <c r="BD4" s="52" t="s">
        <v>144</v>
      </c>
      <c r="BE4" s="53" t="s">
        <v>813</v>
      </c>
      <c r="BF4" s="54" t="s">
        <v>825</v>
      </c>
      <c r="BG4" s="55" t="s">
        <v>736</v>
      </c>
      <c r="BH4" s="52" t="s">
        <v>144</v>
      </c>
      <c r="BI4" s="53" t="s">
        <v>813</v>
      </c>
      <c r="BJ4" s="54" t="s">
        <v>825</v>
      </c>
      <c r="BK4" s="55" t="s">
        <v>736</v>
      </c>
      <c r="BL4" s="52" t="s">
        <v>144</v>
      </c>
      <c r="BM4" s="53" t="s">
        <v>813</v>
      </c>
      <c r="BN4" s="54" t="s">
        <v>825</v>
      </c>
      <c r="BO4" s="55" t="s">
        <v>736</v>
      </c>
      <c r="BP4" s="52" t="s">
        <v>144</v>
      </c>
      <c r="BQ4" s="53" t="s">
        <v>813</v>
      </c>
      <c r="BR4" s="54" t="s">
        <v>825</v>
      </c>
      <c r="BS4" s="55" t="s">
        <v>736</v>
      </c>
      <c r="BT4" s="52" t="s">
        <v>144</v>
      </c>
      <c r="BU4" s="53" t="s">
        <v>880</v>
      </c>
      <c r="BV4" s="52" t="s">
        <v>144</v>
      </c>
      <c r="BW4" s="53" t="s">
        <v>881</v>
      </c>
      <c r="BX4" s="54" t="s">
        <v>327</v>
      </c>
    </row>
    <row r="5" spans="1:76" x14ac:dyDescent="0.25">
      <c r="A5" t="s">
        <v>146</v>
      </c>
      <c r="B5" t="s">
        <v>161</v>
      </c>
      <c r="C5" t="s">
        <v>373</v>
      </c>
      <c r="D5" t="s">
        <v>854</v>
      </c>
      <c r="E5" s="47" t="s">
        <v>144</v>
      </c>
      <c r="F5" s="49">
        <v>2</v>
      </c>
      <c r="G5" s="49">
        <v>0</v>
      </c>
      <c r="H5" s="47" t="s">
        <v>144</v>
      </c>
      <c r="I5" s="49">
        <v>0</v>
      </c>
      <c r="J5" s="48">
        <v>0</v>
      </c>
      <c r="K5" s="48">
        <v>0</v>
      </c>
      <c r="L5" s="47" t="s">
        <v>144</v>
      </c>
      <c r="M5" s="49">
        <v>0</v>
      </c>
      <c r="N5" s="49">
        <v>0</v>
      </c>
      <c r="O5" s="49">
        <v>0</v>
      </c>
      <c r="P5" s="47" t="s">
        <v>144</v>
      </c>
      <c r="Q5" s="49">
        <v>0</v>
      </c>
      <c r="R5" s="49">
        <v>0</v>
      </c>
      <c r="S5" s="49">
        <v>0</v>
      </c>
      <c r="T5" s="47" t="s">
        <v>144</v>
      </c>
      <c r="U5" s="49">
        <v>0</v>
      </c>
      <c r="V5" s="49">
        <v>0</v>
      </c>
      <c r="W5" s="49">
        <v>0</v>
      </c>
      <c r="X5" s="47" t="s">
        <v>144</v>
      </c>
      <c r="Y5" s="49">
        <v>0</v>
      </c>
      <c r="Z5" s="49">
        <v>0</v>
      </c>
      <c r="AA5" s="49">
        <v>0</v>
      </c>
      <c r="AB5" s="47" t="s">
        <v>144</v>
      </c>
      <c r="AC5" s="49">
        <v>0</v>
      </c>
      <c r="AD5" s="49">
        <v>0</v>
      </c>
      <c r="AE5" s="49">
        <v>0</v>
      </c>
      <c r="AF5" s="47" t="s">
        <v>144</v>
      </c>
      <c r="AG5" s="49">
        <v>0</v>
      </c>
      <c r="AH5" s="49">
        <v>0</v>
      </c>
      <c r="AI5" s="49">
        <v>0</v>
      </c>
      <c r="AJ5" s="47" t="s">
        <v>144</v>
      </c>
      <c r="AK5" s="49">
        <v>0</v>
      </c>
      <c r="AL5" s="49">
        <v>0</v>
      </c>
      <c r="AM5" s="49">
        <v>0</v>
      </c>
      <c r="AN5" s="47" t="s">
        <v>144</v>
      </c>
      <c r="AO5" s="49">
        <v>0</v>
      </c>
      <c r="AP5" s="49">
        <v>0</v>
      </c>
      <c r="AQ5" s="49">
        <v>0</v>
      </c>
      <c r="AR5" s="47" t="s">
        <v>144</v>
      </c>
      <c r="AS5" s="49">
        <v>0</v>
      </c>
      <c r="AT5" s="49">
        <v>0</v>
      </c>
      <c r="AU5" s="49">
        <v>0</v>
      </c>
      <c r="AV5" s="47" t="s">
        <v>144</v>
      </c>
      <c r="AW5" s="49">
        <v>0</v>
      </c>
      <c r="AX5" s="49">
        <v>0</v>
      </c>
      <c r="AY5" s="49">
        <v>0</v>
      </c>
      <c r="AZ5" s="47" t="s">
        <v>144</v>
      </c>
      <c r="BA5" s="49">
        <f>SUM(I5,M5,Q5,U5,Y5,AC5,AG5,AK5,AO5,AS5,AW5)</f>
        <v>0</v>
      </c>
      <c r="BB5" s="49">
        <f t="shared" ref="BB5:BC5" si="17">SUM(J5,N5,R5,V5,Z5,AD5,AH5,AL5,AP5,AT5,AX5)</f>
        <v>0</v>
      </c>
      <c r="BC5" s="49">
        <f t="shared" si="17"/>
        <v>0</v>
      </c>
      <c r="BD5" s="47" t="s">
        <v>144</v>
      </c>
      <c r="BE5" s="49">
        <v>0</v>
      </c>
      <c r="BF5" s="49">
        <v>0</v>
      </c>
      <c r="BG5" s="49">
        <v>0</v>
      </c>
      <c r="BH5" s="47" t="s">
        <v>144</v>
      </c>
      <c r="BI5" s="49">
        <v>0</v>
      </c>
      <c r="BJ5" s="49">
        <v>0</v>
      </c>
      <c r="BK5" s="49">
        <v>0</v>
      </c>
      <c r="BL5" s="47" t="s">
        <v>144</v>
      </c>
      <c r="BM5" s="49">
        <v>0</v>
      </c>
      <c r="BN5" s="49">
        <v>0</v>
      </c>
      <c r="BO5" s="49">
        <v>0</v>
      </c>
      <c r="BP5" s="47" t="s">
        <v>144</v>
      </c>
      <c r="BQ5" s="49">
        <v>0</v>
      </c>
      <c r="BR5" s="49">
        <v>0</v>
      </c>
      <c r="BS5" s="49">
        <v>0</v>
      </c>
      <c r="BT5" s="47" t="s">
        <v>144</v>
      </c>
      <c r="BU5" s="76">
        <f>SUM(BA5:BC5)</f>
        <v>0</v>
      </c>
      <c r="BV5" s="47" t="s">
        <v>144</v>
      </c>
      <c r="BW5" s="49">
        <f>SUM(BA5:BB5)</f>
        <v>0</v>
      </c>
      <c r="BX5" s="49">
        <f>BW5*500</f>
        <v>0</v>
      </c>
    </row>
    <row r="6" spans="1:76" x14ac:dyDescent="0.25">
      <c r="A6" t="s">
        <v>147</v>
      </c>
      <c r="B6" t="s">
        <v>162</v>
      </c>
      <c r="C6" t="s">
        <v>338</v>
      </c>
      <c r="D6" t="s">
        <v>857</v>
      </c>
      <c r="E6" s="47" t="s">
        <v>144</v>
      </c>
      <c r="F6" s="49">
        <v>8</v>
      </c>
      <c r="G6" s="49">
        <v>0</v>
      </c>
      <c r="H6" s="47" t="s">
        <v>144</v>
      </c>
      <c r="I6" s="49">
        <v>0</v>
      </c>
      <c r="J6" s="48">
        <v>0</v>
      </c>
      <c r="K6" s="48">
        <v>0</v>
      </c>
      <c r="L6" s="47" t="s">
        <v>144</v>
      </c>
      <c r="M6" s="49">
        <v>0</v>
      </c>
      <c r="N6" s="49">
        <v>0</v>
      </c>
      <c r="O6" s="49">
        <v>0</v>
      </c>
      <c r="P6" s="47" t="s">
        <v>144</v>
      </c>
      <c r="Q6" s="49">
        <v>0</v>
      </c>
      <c r="R6" s="49">
        <v>0</v>
      </c>
      <c r="S6" s="49">
        <v>0</v>
      </c>
      <c r="T6" s="47" t="s">
        <v>144</v>
      </c>
      <c r="U6" s="49">
        <v>0</v>
      </c>
      <c r="V6" s="49">
        <v>0</v>
      </c>
      <c r="W6" s="49">
        <v>0</v>
      </c>
      <c r="X6" s="47" t="s">
        <v>144</v>
      </c>
      <c r="Y6" s="49">
        <v>2</v>
      </c>
      <c r="Z6" s="49">
        <v>0</v>
      </c>
      <c r="AA6" s="49">
        <v>2</v>
      </c>
      <c r="AB6" s="47" t="s">
        <v>144</v>
      </c>
      <c r="AC6" s="49">
        <v>0</v>
      </c>
      <c r="AD6" s="49">
        <v>0</v>
      </c>
      <c r="AE6" s="49">
        <v>0</v>
      </c>
      <c r="AF6" s="47" t="s">
        <v>144</v>
      </c>
      <c r="AG6" s="49">
        <v>0</v>
      </c>
      <c r="AH6" s="49">
        <v>0</v>
      </c>
      <c r="AI6" s="49">
        <v>0</v>
      </c>
      <c r="AJ6" s="47" t="s">
        <v>144</v>
      </c>
      <c r="AK6" s="49">
        <v>0</v>
      </c>
      <c r="AL6" s="49">
        <v>0</v>
      </c>
      <c r="AM6" s="49">
        <v>0</v>
      </c>
      <c r="AN6" s="47" t="s">
        <v>144</v>
      </c>
      <c r="AO6" s="49">
        <v>0</v>
      </c>
      <c r="AP6" s="49">
        <v>0</v>
      </c>
      <c r="AQ6" s="49">
        <v>0</v>
      </c>
      <c r="AR6" s="47" t="s">
        <v>144</v>
      </c>
      <c r="AS6" s="49">
        <v>0</v>
      </c>
      <c r="AT6" s="49">
        <v>0</v>
      </c>
      <c r="AU6" s="49">
        <v>0</v>
      </c>
      <c r="AV6" s="47" t="s">
        <v>144</v>
      </c>
      <c r="AW6" s="49">
        <v>0</v>
      </c>
      <c r="AX6" s="49">
        <v>0</v>
      </c>
      <c r="AY6" s="49">
        <v>0</v>
      </c>
      <c r="AZ6" s="47" t="s">
        <v>144</v>
      </c>
      <c r="BA6" s="49">
        <f t="shared" ref="BA6:BA25" si="18">SUM(I6,M6,Q6,U6,Y6,AC6,AG6,AK6,AO6,AS6,AW6)</f>
        <v>2</v>
      </c>
      <c r="BB6" s="49">
        <f t="shared" ref="BB6:BB25" si="19">SUM(J6,N6,R6,V6,Z6,AD6,AH6,AL6,AP6,AT6,AX6)</f>
        <v>0</v>
      </c>
      <c r="BC6" s="49">
        <f t="shared" ref="BC6:BC25" si="20">SUM(K6,O6,S6,W6,AA6,AE6,AI6,AM6,AQ6,AU6,AY6)</f>
        <v>2</v>
      </c>
      <c r="BD6" s="47" t="s">
        <v>144</v>
      </c>
      <c r="BE6" s="49">
        <v>0</v>
      </c>
      <c r="BF6" s="49">
        <v>0</v>
      </c>
      <c r="BG6" s="49">
        <v>0</v>
      </c>
      <c r="BH6" s="47" t="s">
        <v>144</v>
      </c>
      <c r="BI6" s="49">
        <v>0</v>
      </c>
      <c r="BJ6" s="49">
        <v>0</v>
      </c>
      <c r="BK6" s="49">
        <v>0</v>
      </c>
      <c r="BL6" s="47" t="s">
        <v>144</v>
      </c>
      <c r="BM6" s="49">
        <v>0</v>
      </c>
      <c r="BN6" s="49">
        <v>0</v>
      </c>
      <c r="BO6" s="49">
        <v>0</v>
      </c>
      <c r="BP6" s="47" t="s">
        <v>144</v>
      </c>
      <c r="BQ6" s="49">
        <v>0</v>
      </c>
      <c r="BR6" s="49">
        <v>0</v>
      </c>
      <c r="BS6" s="49">
        <v>0</v>
      </c>
      <c r="BT6" s="47" t="s">
        <v>144</v>
      </c>
      <c r="BU6" s="76">
        <f>SUM(BA6:BC6)</f>
        <v>4</v>
      </c>
      <c r="BV6" s="47" t="s">
        <v>144</v>
      </c>
      <c r="BW6" s="49">
        <f t="shared" ref="BW6:BW25" si="21">SUM(BA6:BB6)</f>
        <v>2</v>
      </c>
      <c r="BX6" s="49">
        <f t="shared" ref="BX6:BX25" si="22">BW6*500</f>
        <v>1000</v>
      </c>
    </row>
    <row r="7" spans="1:76" x14ac:dyDescent="0.25">
      <c r="A7" t="s">
        <v>148</v>
      </c>
      <c r="B7" t="s">
        <v>163</v>
      </c>
      <c r="C7" t="s">
        <v>333</v>
      </c>
      <c r="D7" t="s">
        <v>856</v>
      </c>
      <c r="E7" s="47" t="s">
        <v>144</v>
      </c>
      <c r="F7" s="49">
        <v>8</v>
      </c>
      <c r="G7" s="49">
        <v>0</v>
      </c>
      <c r="H7" s="47" t="s">
        <v>144</v>
      </c>
      <c r="I7" s="49">
        <v>0</v>
      </c>
      <c r="J7" s="48">
        <v>0</v>
      </c>
      <c r="K7" s="48">
        <v>0</v>
      </c>
      <c r="L7" s="47" t="s">
        <v>144</v>
      </c>
      <c r="M7" s="49">
        <v>0</v>
      </c>
      <c r="N7" s="49">
        <v>0</v>
      </c>
      <c r="O7" s="49">
        <v>0</v>
      </c>
      <c r="P7" s="47" t="s">
        <v>144</v>
      </c>
      <c r="Q7" s="49">
        <v>1</v>
      </c>
      <c r="R7" s="49">
        <v>0</v>
      </c>
      <c r="S7" s="49">
        <v>2</v>
      </c>
      <c r="T7" s="47" t="s">
        <v>144</v>
      </c>
      <c r="U7" s="49">
        <v>0</v>
      </c>
      <c r="V7" s="49">
        <v>0</v>
      </c>
      <c r="W7" s="49">
        <v>0</v>
      </c>
      <c r="X7" s="47" t="s">
        <v>144</v>
      </c>
      <c r="Y7" s="49">
        <v>1</v>
      </c>
      <c r="Z7" s="49">
        <v>0</v>
      </c>
      <c r="AA7" s="49">
        <v>2</v>
      </c>
      <c r="AB7" s="47" t="s">
        <v>144</v>
      </c>
      <c r="AC7" s="49">
        <v>0</v>
      </c>
      <c r="AD7" s="49">
        <v>0</v>
      </c>
      <c r="AE7" s="49">
        <v>0</v>
      </c>
      <c r="AF7" s="47" t="s">
        <v>144</v>
      </c>
      <c r="AG7" s="49">
        <v>0</v>
      </c>
      <c r="AH7" s="49">
        <v>0</v>
      </c>
      <c r="AI7" s="49">
        <v>0</v>
      </c>
      <c r="AJ7" s="47" t="s">
        <v>144</v>
      </c>
      <c r="AK7" s="49">
        <v>0</v>
      </c>
      <c r="AL7" s="49">
        <v>0</v>
      </c>
      <c r="AM7" s="49">
        <v>0</v>
      </c>
      <c r="AN7" s="47" t="s">
        <v>144</v>
      </c>
      <c r="AO7" s="49">
        <v>0</v>
      </c>
      <c r="AP7" s="49">
        <v>0</v>
      </c>
      <c r="AQ7" s="49">
        <v>0</v>
      </c>
      <c r="AR7" s="47" t="s">
        <v>144</v>
      </c>
      <c r="AS7" s="49">
        <v>0</v>
      </c>
      <c r="AT7" s="49">
        <v>0</v>
      </c>
      <c r="AU7" s="49">
        <v>0</v>
      </c>
      <c r="AV7" s="47" t="s">
        <v>144</v>
      </c>
      <c r="AW7" s="49">
        <v>0</v>
      </c>
      <c r="AX7" s="49">
        <v>0</v>
      </c>
      <c r="AY7" s="49">
        <v>0</v>
      </c>
      <c r="AZ7" s="47" t="s">
        <v>144</v>
      </c>
      <c r="BA7" s="49">
        <f t="shared" si="18"/>
        <v>2</v>
      </c>
      <c r="BB7" s="49">
        <f t="shared" si="19"/>
        <v>0</v>
      </c>
      <c r="BC7" s="49">
        <f t="shared" si="20"/>
        <v>4</v>
      </c>
      <c r="BD7" s="47" t="s">
        <v>144</v>
      </c>
      <c r="BE7" s="49">
        <v>0</v>
      </c>
      <c r="BF7" s="49">
        <v>0</v>
      </c>
      <c r="BG7" s="49">
        <v>0</v>
      </c>
      <c r="BH7" s="47" t="s">
        <v>144</v>
      </c>
      <c r="BI7" s="49">
        <v>0</v>
      </c>
      <c r="BJ7" s="49">
        <v>0</v>
      </c>
      <c r="BK7" s="49">
        <v>0</v>
      </c>
      <c r="BL7" s="47" t="s">
        <v>144</v>
      </c>
      <c r="BM7" s="49">
        <v>0</v>
      </c>
      <c r="BN7" s="49">
        <v>0</v>
      </c>
      <c r="BO7" s="49">
        <v>0</v>
      </c>
      <c r="BP7" s="47" t="s">
        <v>144</v>
      </c>
      <c r="BQ7" s="49">
        <v>0</v>
      </c>
      <c r="BR7" s="49">
        <v>0</v>
      </c>
      <c r="BS7" s="49">
        <v>0</v>
      </c>
      <c r="BT7" s="47" t="s">
        <v>144</v>
      </c>
      <c r="BU7" s="76">
        <f>SUM(BA7:BC7)</f>
        <v>6</v>
      </c>
      <c r="BV7" s="47" t="s">
        <v>144</v>
      </c>
      <c r="BW7" s="49">
        <f t="shared" si="21"/>
        <v>2</v>
      </c>
      <c r="BX7" s="49">
        <f t="shared" si="22"/>
        <v>1000</v>
      </c>
    </row>
    <row r="8" spans="1:76" x14ac:dyDescent="0.25">
      <c r="A8" t="s">
        <v>149</v>
      </c>
      <c r="B8" t="s">
        <v>164</v>
      </c>
      <c r="C8" t="s">
        <v>645</v>
      </c>
      <c r="D8" t="s">
        <v>854</v>
      </c>
      <c r="E8" s="47" t="s">
        <v>144</v>
      </c>
      <c r="F8" s="49">
        <v>5</v>
      </c>
      <c r="G8" s="49">
        <v>0</v>
      </c>
      <c r="H8" s="47" t="s">
        <v>144</v>
      </c>
      <c r="I8" s="49">
        <v>1</v>
      </c>
      <c r="J8" s="48">
        <v>0</v>
      </c>
      <c r="K8" s="48">
        <v>0</v>
      </c>
      <c r="L8" s="47" t="s">
        <v>144</v>
      </c>
      <c r="M8" s="49">
        <v>0</v>
      </c>
      <c r="N8" s="49">
        <v>0</v>
      </c>
      <c r="O8" s="49">
        <v>0</v>
      </c>
      <c r="P8" s="47" t="s">
        <v>144</v>
      </c>
      <c r="Q8" s="49">
        <v>0</v>
      </c>
      <c r="R8" s="49">
        <v>0</v>
      </c>
      <c r="S8" s="49">
        <v>0</v>
      </c>
      <c r="T8" s="47" t="s">
        <v>144</v>
      </c>
      <c r="U8" s="49">
        <v>0</v>
      </c>
      <c r="V8" s="49">
        <v>0</v>
      </c>
      <c r="W8" s="49">
        <v>0</v>
      </c>
      <c r="X8" s="47" t="s">
        <v>144</v>
      </c>
      <c r="Y8" s="49">
        <v>0</v>
      </c>
      <c r="Z8" s="49">
        <v>0</v>
      </c>
      <c r="AA8" s="49">
        <v>0</v>
      </c>
      <c r="AB8" s="47" t="s">
        <v>144</v>
      </c>
      <c r="AC8" s="49">
        <v>0</v>
      </c>
      <c r="AD8" s="49">
        <v>0</v>
      </c>
      <c r="AE8" s="49">
        <v>0</v>
      </c>
      <c r="AF8" s="47" t="s">
        <v>144</v>
      </c>
      <c r="AG8" s="49">
        <v>0</v>
      </c>
      <c r="AH8" s="49">
        <v>0</v>
      </c>
      <c r="AI8" s="49">
        <v>0</v>
      </c>
      <c r="AJ8" s="47" t="s">
        <v>144</v>
      </c>
      <c r="AK8" s="49">
        <v>0</v>
      </c>
      <c r="AL8" s="49">
        <v>0</v>
      </c>
      <c r="AM8" s="49">
        <v>0</v>
      </c>
      <c r="AN8" s="47" t="s">
        <v>144</v>
      </c>
      <c r="AO8" s="49">
        <v>0</v>
      </c>
      <c r="AP8" s="49">
        <v>0</v>
      </c>
      <c r="AQ8" s="49">
        <v>0</v>
      </c>
      <c r="AR8" s="47" t="s">
        <v>144</v>
      </c>
      <c r="AS8" s="49">
        <v>0</v>
      </c>
      <c r="AT8" s="49">
        <v>0</v>
      </c>
      <c r="AU8" s="49">
        <v>0</v>
      </c>
      <c r="AV8" s="47" t="s">
        <v>144</v>
      </c>
      <c r="AW8" s="49">
        <v>0</v>
      </c>
      <c r="AX8" s="49">
        <v>0</v>
      </c>
      <c r="AY8" s="49">
        <v>0</v>
      </c>
      <c r="AZ8" s="47" t="s">
        <v>144</v>
      </c>
      <c r="BA8" s="49">
        <f t="shared" si="18"/>
        <v>1</v>
      </c>
      <c r="BB8" s="49">
        <f t="shared" si="19"/>
        <v>0</v>
      </c>
      <c r="BC8" s="49">
        <f t="shared" si="20"/>
        <v>0</v>
      </c>
      <c r="BD8" s="47" t="s">
        <v>144</v>
      </c>
      <c r="BE8" s="49">
        <v>0</v>
      </c>
      <c r="BF8" s="49">
        <v>0</v>
      </c>
      <c r="BG8" s="49">
        <v>0</v>
      </c>
      <c r="BH8" s="47" t="s">
        <v>144</v>
      </c>
      <c r="BI8" s="49">
        <v>0</v>
      </c>
      <c r="BJ8" s="49">
        <v>0</v>
      </c>
      <c r="BK8" s="49">
        <v>0</v>
      </c>
      <c r="BL8" s="47" t="s">
        <v>144</v>
      </c>
      <c r="BM8" s="49">
        <v>0</v>
      </c>
      <c r="BN8" s="49">
        <v>0</v>
      </c>
      <c r="BO8" s="49">
        <v>0</v>
      </c>
      <c r="BP8" s="47" t="s">
        <v>144</v>
      </c>
      <c r="BQ8" s="49">
        <v>0</v>
      </c>
      <c r="BR8" s="49">
        <v>0</v>
      </c>
      <c r="BS8" s="49">
        <v>0</v>
      </c>
      <c r="BT8" s="47" t="s">
        <v>144</v>
      </c>
      <c r="BU8" s="76">
        <f>SUM(BA8:BC8)</f>
        <v>1</v>
      </c>
      <c r="BV8" s="47" t="s">
        <v>144</v>
      </c>
      <c r="BW8" s="49">
        <f t="shared" si="21"/>
        <v>1</v>
      </c>
      <c r="BX8" s="49">
        <f t="shared" si="22"/>
        <v>500</v>
      </c>
    </row>
    <row r="9" spans="1:76" x14ac:dyDescent="0.25">
      <c r="A9" t="s">
        <v>150</v>
      </c>
      <c r="B9" t="s">
        <v>165</v>
      </c>
      <c r="C9" t="s">
        <v>328</v>
      </c>
      <c r="D9" t="s">
        <v>856</v>
      </c>
      <c r="E9" s="47" t="s">
        <v>144</v>
      </c>
      <c r="F9" s="49">
        <v>1</v>
      </c>
      <c r="G9" s="49">
        <v>0</v>
      </c>
      <c r="H9" s="47" t="s">
        <v>144</v>
      </c>
      <c r="I9" s="49">
        <v>0</v>
      </c>
      <c r="J9" s="48">
        <v>0</v>
      </c>
      <c r="K9" s="48">
        <v>0</v>
      </c>
      <c r="L9" s="47" t="s">
        <v>144</v>
      </c>
      <c r="M9" s="49">
        <v>0</v>
      </c>
      <c r="N9" s="49">
        <v>0</v>
      </c>
      <c r="O9" s="49">
        <v>0</v>
      </c>
      <c r="P9" s="47" t="s">
        <v>144</v>
      </c>
      <c r="Q9" s="49">
        <v>0</v>
      </c>
      <c r="R9" s="49">
        <v>0</v>
      </c>
      <c r="S9" s="49">
        <v>0</v>
      </c>
      <c r="T9" s="47" t="s">
        <v>144</v>
      </c>
      <c r="U9" s="49">
        <v>0</v>
      </c>
      <c r="V9" s="49">
        <v>0</v>
      </c>
      <c r="W9" s="49">
        <v>0</v>
      </c>
      <c r="X9" s="47" t="s">
        <v>144</v>
      </c>
      <c r="Y9" s="49">
        <v>0</v>
      </c>
      <c r="Z9" s="49">
        <v>0</v>
      </c>
      <c r="AA9" s="49">
        <v>0</v>
      </c>
      <c r="AB9" s="47" t="s">
        <v>144</v>
      </c>
      <c r="AC9" s="49">
        <v>1</v>
      </c>
      <c r="AD9" s="49">
        <v>0</v>
      </c>
      <c r="AE9" s="49">
        <v>0</v>
      </c>
      <c r="AF9" s="47" t="s">
        <v>144</v>
      </c>
      <c r="AG9" s="49">
        <v>0</v>
      </c>
      <c r="AH9" s="49">
        <v>0</v>
      </c>
      <c r="AI9" s="49">
        <v>0</v>
      </c>
      <c r="AJ9" s="47" t="s">
        <v>144</v>
      </c>
      <c r="AK9" s="49">
        <v>0</v>
      </c>
      <c r="AL9" s="49">
        <v>0</v>
      </c>
      <c r="AM9" s="49">
        <v>0</v>
      </c>
      <c r="AN9" s="47" t="s">
        <v>144</v>
      </c>
      <c r="AO9" s="49">
        <v>0</v>
      </c>
      <c r="AP9" s="49">
        <v>0</v>
      </c>
      <c r="AQ9" s="49">
        <v>0</v>
      </c>
      <c r="AR9" s="47" t="s">
        <v>144</v>
      </c>
      <c r="AS9" s="49">
        <v>0</v>
      </c>
      <c r="AT9" s="49">
        <v>0</v>
      </c>
      <c r="AU9" s="49">
        <v>0</v>
      </c>
      <c r="AV9" s="47" t="s">
        <v>144</v>
      </c>
      <c r="AW9" s="49">
        <v>0</v>
      </c>
      <c r="AX9" s="49">
        <v>0</v>
      </c>
      <c r="AY9" s="49">
        <v>0</v>
      </c>
      <c r="AZ9" s="47" t="s">
        <v>144</v>
      </c>
      <c r="BA9" s="49">
        <f t="shared" si="18"/>
        <v>1</v>
      </c>
      <c r="BB9" s="49">
        <f t="shared" si="19"/>
        <v>0</v>
      </c>
      <c r="BC9" s="49">
        <f t="shared" si="20"/>
        <v>0</v>
      </c>
      <c r="BD9" s="47" t="s">
        <v>144</v>
      </c>
      <c r="BE9" s="49">
        <v>0</v>
      </c>
      <c r="BF9" s="49">
        <v>0</v>
      </c>
      <c r="BG9" s="49">
        <v>0</v>
      </c>
      <c r="BH9" s="47" t="s">
        <v>144</v>
      </c>
      <c r="BI9" s="49">
        <v>0</v>
      </c>
      <c r="BJ9" s="49">
        <v>0</v>
      </c>
      <c r="BK9" s="49">
        <v>0</v>
      </c>
      <c r="BL9" s="47" t="s">
        <v>144</v>
      </c>
      <c r="BM9" s="49">
        <v>0</v>
      </c>
      <c r="BN9" s="49">
        <v>0</v>
      </c>
      <c r="BO9" s="49">
        <v>0</v>
      </c>
      <c r="BP9" s="47" t="s">
        <v>144</v>
      </c>
      <c r="BQ9" s="49">
        <v>0</v>
      </c>
      <c r="BR9" s="49">
        <v>0</v>
      </c>
      <c r="BS9" s="49">
        <v>0</v>
      </c>
      <c r="BT9" s="47" t="s">
        <v>144</v>
      </c>
      <c r="BU9" s="76">
        <f>SUM(BA9:BC9)</f>
        <v>1</v>
      </c>
      <c r="BV9" s="47" t="s">
        <v>144</v>
      </c>
      <c r="BW9" s="49">
        <f t="shared" si="21"/>
        <v>1</v>
      </c>
      <c r="BX9" s="49">
        <f t="shared" si="22"/>
        <v>500</v>
      </c>
    </row>
    <row r="10" spans="1:76" x14ac:dyDescent="0.25">
      <c r="A10" t="s">
        <v>125</v>
      </c>
      <c r="B10" t="s">
        <v>166</v>
      </c>
      <c r="C10" t="s">
        <v>332</v>
      </c>
      <c r="D10" t="s">
        <v>855</v>
      </c>
      <c r="E10" s="47" t="s">
        <v>144</v>
      </c>
      <c r="F10" s="49">
        <v>7</v>
      </c>
      <c r="G10" s="49">
        <v>0</v>
      </c>
      <c r="H10" s="47" t="s">
        <v>144</v>
      </c>
      <c r="I10" s="49">
        <v>0</v>
      </c>
      <c r="J10" s="48">
        <v>0</v>
      </c>
      <c r="K10" s="48">
        <v>0</v>
      </c>
      <c r="L10" s="47" t="s">
        <v>144</v>
      </c>
      <c r="M10" s="49">
        <v>0</v>
      </c>
      <c r="N10" s="49">
        <v>0</v>
      </c>
      <c r="O10" s="49">
        <v>0</v>
      </c>
      <c r="P10" s="47" t="s">
        <v>144</v>
      </c>
      <c r="Q10" s="49">
        <v>1</v>
      </c>
      <c r="R10" s="49">
        <v>0</v>
      </c>
      <c r="S10" s="49">
        <v>2</v>
      </c>
      <c r="T10" s="47" t="s">
        <v>144</v>
      </c>
      <c r="U10" s="49">
        <v>1</v>
      </c>
      <c r="V10" s="49">
        <v>0</v>
      </c>
      <c r="W10" s="49">
        <v>2</v>
      </c>
      <c r="X10" s="47" t="s">
        <v>144</v>
      </c>
      <c r="Y10" s="49">
        <v>1</v>
      </c>
      <c r="Z10" s="49">
        <v>0</v>
      </c>
      <c r="AA10" s="49">
        <v>0</v>
      </c>
      <c r="AB10" s="47" t="s">
        <v>144</v>
      </c>
      <c r="AC10" s="49">
        <v>0</v>
      </c>
      <c r="AD10" s="49">
        <v>0</v>
      </c>
      <c r="AE10" s="49">
        <v>0</v>
      </c>
      <c r="AF10" s="47" t="s">
        <v>144</v>
      </c>
      <c r="AG10" s="49">
        <v>1</v>
      </c>
      <c r="AH10" s="49">
        <v>0</v>
      </c>
      <c r="AI10" s="49">
        <v>2</v>
      </c>
      <c r="AJ10" s="47" t="s">
        <v>144</v>
      </c>
      <c r="AK10" s="49">
        <v>0</v>
      </c>
      <c r="AL10" s="49">
        <v>0</v>
      </c>
      <c r="AM10" s="49">
        <v>0</v>
      </c>
      <c r="AN10" s="47" t="s">
        <v>144</v>
      </c>
      <c r="AO10" s="49">
        <v>0</v>
      </c>
      <c r="AP10" s="49">
        <v>0</v>
      </c>
      <c r="AQ10" s="49">
        <v>0</v>
      </c>
      <c r="AR10" s="47" t="s">
        <v>144</v>
      </c>
      <c r="AS10" s="49">
        <v>0</v>
      </c>
      <c r="AT10" s="49">
        <v>0</v>
      </c>
      <c r="AU10" s="49">
        <v>0</v>
      </c>
      <c r="AV10" s="47" t="s">
        <v>144</v>
      </c>
      <c r="AW10" s="49">
        <v>0</v>
      </c>
      <c r="AX10" s="49">
        <v>0</v>
      </c>
      <c r="AY10" s="49">
        <v>0</v>
      </c>
      <c r="AZ10" s="47" t="s">
        <v>144</v>
      </c>
      <c r="BA10" s="49">
        <f t="shared" si="18"/>
        <v>4</v>
      </c>
      <c r="BB10" s="49">
        <f t="shared" si="19"/>
        <v>0</v>
      </c>
      <c r="BC10" s="49">
        <f t="shared" si="20"/>
        <v>6</v>
      </c>
      <c r="BD10" s="47" t="s">
        <v>144</v>
      </c>
      <c r="BE10" s="49">
        <v>0</v>
      </c>
      <c r="BF10" s="49">
        <v>0</v>
      </c>
      <c r="BG10" s="49">
        <v>0</v>
      </c>
      <c r="BH10" s="47" t="s">
        <v>144</v>
      </c>
      <c r="BI10" s="49">
        <v>0</v>
      </c>
      <c r="BJ10" s="49">
        <v>0</v>
      </c>
      <c r="BK10" s="49">
        <v>0</v>
      </c>
      <c r="BL10" s="47" t="s">
        <v>144</v>
      </c>
      <c r="BM10" s="49">
        <v>0</v>
      </c>
      <c r="BN10" s="49">
        <v>0</v>
      </c>
      <c r="BO10" s="49">
        <v>0</v>
      </c>
      <c r="BP10" s="47" t="s">
        <v>144</v>
      </c>
      <c r="BQ10" s="49">
        <v>0</v>
      </c>
      <c r="BR10" s="49">
        <v>0</v>
      </c>
      <c r="BS10" s="49">
        <v>0</v>
      </c>
      <c r="BT10" s="47" t="s">
        <v>144</v>
      </c>
      <c r="BU10" s="76">
        <f>SUM(BA10:BC10)</f>
        <v>10</v>
      </c>
      <c r="BV10" s="47" t="s">
        <v>144</v>
      </c>
      <c r="BW10" s="49">
        <f t="shared" si="21"/>
        <v>4</v>
      </c>
      <c r="BX10" s="49">
        <f t="shared" si="22"/>
        <v>2000</v>
      </c>
    </row>
    <row r="11" spans="1:76" x14ac:dyDescent="0.25">
      <c r="A11" t="s">
        <v>117</v>
      </c>
      <c r="B11" t="s">
        <v>167</v>
      </c>
      <c r="C11" t="s">
        <v>330</v>
      </c>
      <c r="D11" t="s">
        <v>855</v>
      </c>
      <c r="E11" s="47" t="s">
        <v>144</v>
      </c>
      <c r="F11" s="49">
        <v>5</v>
      </c>
      <c r="G11" s="49">
        <v>0</v>
      </c>
      <c r="H11" s="47" t="s">
        <v>144</v>
      </c>
      <c r="I11" s="49">
        <v>0</v>
      </c>
      <c r="J11" s="48">
        <v>0</v>
      </c>
      <c r="K11" s="48">
        <v>0</v>
      </c>
      <c r="L11" s="47" t="s">
        <v>144</v>
      </c>
      <c r="M11" s="49">
        <v>0</v>
      </c>
      <c r="N11" s="49">
        <v>0</v>
      </c>
      <c r="O11" s="49">
        <v>0</v>
      </c>
      <c r="P11" s="47" t="s">
        <v>144</v>
      </c>
      <c r="Q11" s="49">
        <v>1</v>
      </c>
      <c r="R11" s="49">
        <v>0</v>
      </c>
      <c r="S11" s="49">
        <v>2</v>
      </c>
      <c r="T11" s="47" t="s">
        <v>144</v>
      </c>
      <c r="U11" s="49">
        <v>2</v>
      </c>
      <c r="V11" s="49">
        <v>0</v>
      </c>
      <c r="W11" s="49">
        <v>2</v>
      </c>
      <c r="X11" s="47" t="s">
        <v>144</v>
      </c>
      <c r="Y11" s="49">
        <v>1</v>
      </c>
      <c r="Z11" s="49">
        <v>0</v>
      </c>
      <c r="AA11" s="49">
        <v>0</v>
      </c>
      <c r="AB11" s="47" t="s">
        <v>144</v>
      </c>
      <c r="AC11" s="49">
        <v>1</v>
      </c>
      <c r="AD11" s="49">
        <v>0</v>
      </c>
      <c r="AE11" s="49">
        <v>2</v>
      </c>
      <c r="AF11" s="47" t="s">
        <v>144</v>
      </c>
      <c r="AG11" s="49">
        <v>0</v>
      </c>
      <c r="AH11" s="49">
        <v>0</v>
      </c>
      <c r="AI11" s="49">
        <v>0</v>
      </c>
      <c r="AJ11" s="47" t="s">
        <v>144</v>
      </c>
      <c r="AK11" s="49">
        <v>0</v>
      </c>
      <c r="AL11" s="49">
        <v>0</v>
      </c>
      <c r="AM11" s="49">
        <v>0</v>
      </c>
      <c r="AN11" s="47" t="s">
        <v>144</v>
      </c>
      <c r="AO11" s="49">
        <v>0</v>
      </c>
      <c r="AP11" s="49">
        <v>0</v>
      </c>
      <c r="AQ11" s="49">
        <v>0</v>
      </c>
      <c r="AR11" s="47" t="s">
        <v>144</v>
      </c>
      <c r="AS11" s="49">
        <v>0</v>
      </c>
      <c r="AT11" s="49">
        <v>0</v>
      </c>
      <c r="AU11" s="49">
        <v>0</v>
      </c>
      <c r="AV11" s="47" t="s">
        <v>144</v>
      </c>
      <c r="AW11" s="49">
        <v>0</v>
      </c>
      <c r="AX11" s="49">
        <v>0</v>
      </c>
      <c r="AY11" s="49">
        <v>0</v>
      </c>
      <c r="AZ11" s="47" t="s">
        <v>144</v>
      </c>
      <c r="BA11" s="49">
        <f t="shared" si="18"/>
        <v>5</v>
      </c>
      <c r="BB11" s="49">
        <f t="shared" si="19"/>
        <v>0</v>
      </c>
      <c r="BC11" s="49">
        <f t="shared" si="20"/>
        <v>6</v>
      </c>
      <c r="BD11" s="47" t="s">
        <v>144</v>
      </c>
      <c r="BE11" s="49">
        <v>0</v>
      </c>
      <c r="BF11" s="49">
        <v>0</v>
      </c>
      <c r="BG11" s="49">
        <v>0</v>
      </c>
      <c r="BH11" s="47" t="s">
        <v>144</v>
      </c>
      <c r="BI11" s="49">
        <v>0</v>
      </c>
      <c r="BJ11" s="49">
        <v>0</v>
      </c>
      <c r="BK11" s="49">
        <v>0</v>
      </c>
      <c r="BL11" s="47" t="s">
        <v>144</v>
      </c>
      <c r="BM11" s="49">
        <v>0</v>
      </c>
      <c r="BN11" s="49">
        <v>0</v>
      </c>
      <c r="BO11" s="49">
        <v>0</v>
      </c>
      <c r="BP11" s="47" t="s">
        <v>144</v>
      </c>
      <c r="BQ11" s="49">
        <v>0</v>
      </c>
      <c r="BR11" s="49">
        <v>0</v>
      </c>
      <c r="BS11" s="49">
        <v>0</v>
      </c>
      <c r="BT11" s="47" t="s">
        <v>144</v>
      </c>
      <c r="BU11" s="76">
        <f>SUM(BA11:BC11)</f>
        <v>11</v>
      </c>
      <c r="BV11" s="47" t="s">
        <v>144</v>
      </c>
      <c r="BW11" s="49">
        <f t="shared" si="21"/>
        <v>5</v>
      </c>
      <c r="BX11" s="49">
        <f t="shared" si="22"/>
        <v>2500</v>
      </c>
    </row>
    <row r="12" spans="1:76" x14ac:dyDescent="0.25">
      <c r="A12" t="s">
        <v>151</v>
      </c>
      <c r="B12" t="s">
        <v>168</v>
      </c>
      <c r="C12" t="s">
        <v>581</v>
      </c>
      <c r="D12" t="s">
        <v>857</v>
      </c>
      <c r="E12" s="47" t="s">
        <v>144</v>
      </c>
      <c r="F12" s="49">
        <v>9</v>
      </c>
      <c r="G12" s="49">
        <v>0</v>
      </c>
      <c r="H12" s="47" t="s">
        <v>144</v>
      </c>
      <c r="I12" s="49">
        <v>0</v>
      </c>
      <c r="J12" s="48">
        <v>0</v>
      </c>
      <c r="K12" s="48">
        <v>0</v>
      </c>
      <c r="L12" s="47" t="s">
        <v>144</v>
      </c>
      <c r="M12" s="49">
        <v>0</v>
      </c>
      <c r="N12" s="49">
        <v>0</v>
      </c>
      <c r="O12" s="49">
        <v>0</v>
      </c>
      <c r="P12" s="47" t="s">
        <v>144</v>
      </c>
      <c r="Q12" s="49">
        <v>0</v>
      </c>
      <c r="R12" s="49">
        <v>0</v>
      </c>
      <c r="S12" s="49">
        <v>0</v>
      </c>
      <c r="T12" s="47" t="s">
        <v>144</v>
      </c>
      <c r="U12" s="49">
        <v>0</v>
      </c>
      <c r="V12" s="49">
        <v>0</v>
      </c>
      <c r="W12" s="49">
        <v>0</v>
      </c>
      <c r="X12" s="47" t="s">
        <v>144</v>
      </c>
      <c r="Y12" s="49">
        <v>0</v>
      </c>
      <c r="Z12" s="49">
        <v>0</v>
      </c>
      <c r="AA12" s="49">
        <v>0</v>
      </c>
      <c r="AB12" s="47" t="s">
        <v>144</v>
      </c>
      <c r="AC12" s="49">
        <v>0</v>
      </c>
      <c r="AD12" s="49">
        <v>0</v>
      </c>
      <c r="AE12" s="49">
        <v>0</v>
      </c>
      <c r="AF12" s="47" t="s">
        <v>144</v>
      </c>
      <c r="AG12" s="49">
        <v>0</v>
      </c>
      <c r="AH12" s="49">
        <v>0</v>
      </c>
      <c r="AI12" s="49">
        <v>0</v>
      </c>
      <c r="AJ12" s="47" t="s">
        <v>144</v>
      </c>
      <c r="AK12" s="49">
        <v>0</v>
      </c>
      <c r="AL12" s="49">
        <v>0</v>
      </c>
      <c r="AM12" s="49">
        <v>0</v>
      </c>
      <c r="AN12" s="47" t="s">
        <v>144</v>
      </c>
      <c r="AO12" s="49">
        <v>0</v>
      </c>
      <c r="AP12" s="49">
        <v>0</v>
      </c>
      <c r="AQ12" s="49">
        <v>0</v>
      </c>
      <c r="AR12" s="47" t="s">
        <v>144</v>
      </c>
      <c r="AS12" s="49">
        <v>0</v>
      </c>
      <c r="AT12" s="49">
        <v>0</v>
      </c>
      <c r="AU12" s="49">
        <v>0</v>
      </c>
      <c r="AV12" s="47" t="s">
        <v>144</v>
      </c>
      <c r="AW12" s="49">
        <v>0</v>
      </c>
      <c r="AX12" s="49">
        <v>0</v>
      </c>
      <c r="AY12" s="49">
        <v>0</v>
      </c>
      <c r="AZ12" s="47" t="s">
        <v>144</v>
      </c>
      <c r="BA12" s="49">
        <f t="shared" si="18"/>
        <v>0</v>
      </c>
      <c r="BB12" s="49">
        <f t="shared" si="19"/>
        <v>0</v>
      </c>
      <c r="BC12" s="49">
        <f t="shared" si="20"/>
        <v>0</v>
      </c>
      <c r="BD12" s="47" t="s">
        <v>144</v>
      </c>
      <c r="BE12" s="49">
        <v>0</v>
      </c>
      <c r="BF12" s="49">
        <v>0</v>
      </c>
      <c r="BG12" s="49">
        <v>0</v>
      </c>
      <c r="BH12" s="47" t="s">
        <v>144</v>
      </c>
      <c r="BI12" s="49">
        <v>0</v>
      </c>
      <c r="BJ12" s="49">
        <v>0</v>
      </c>
      <c r="BK12" s="49">
        <v>0</v>
      </c>
      <c r="BL12" s="47" t="s">
        <v>144</v>
      </c>
      <c r="BM12" s="49">
        <v>0</v>
      </c>
      <c r="BN12" s="49">
        <v>0</v>
      </c>
      <c r="BO12" s="49">
        <v>0</v>
      </c>
      <c r="BP12" s="47" t="s">
        <v>144</v>
      </c>
      <c r="BQ12" s="49">
        <v>0</v>
      </c>
      <c r="BR12" s="49">
        <v>0</v>
      </c>
      <c r="BS12" s="49">
        <v>0</v>
      </c>
      <c r="BT12" s="47" t="s">
        <v>144</v>
      </c>
      <c r="BU12" s="76">
        <f>SUM(BA12:BC12)</f>
        <v>0</v>
      </c>
      <c r="BV12" s="47" t="s">
        <v>144</v>
      </c>
      <c r="BW12" s="49">
        <f t="shared" si="21"/>
        <v>0</v>
      </c>
      <c r="BX12" s="49">
        <f t="shared" si="22"/>
        <v>0</v>
      </c>
    </row>
    <row r="13" spans="1:76" x14ac:dyDescent="0.25">
      <c r="A13" t="s">
        <v>152</v>
      </c>
      <c r="B13" t="s">
        <v>169</v>
      </c>
      <c r="C13" t="s">
        <v>340</v>
      </c>
      <c r="D13" t="s">
        <v>854</v>
      </c>
      <c r="E13" s="47" t="s">
        <v>144</v>
      </c>
      <c r="F13" s="49">
        <v>10</v>
      </c>
      <c r="G13" s="49">
        <v>3</v>
      </c>
      <c r="H13" s="47" t="s">
        <v>144</v>
      </c>
      <c r="I13" s="49">
        <v>0</v>
      </c>
      <c r="J13" s="48">
        <v>0</v>
      </c>
      <c r="K13" s="48">
        <v>0</v>
      </c>
      <c r="L13" s="47" t="s">
        <v>144</v>
      </c>
      <c r="M13" s="49">
        <v>0</v>
      </c>
      <c r="N13" s="49">
        <v>0</v>
      </c>
      <c r="O13" s="49">
        <v>0</v>
      </c>
      <c r="P13" s="47" t="s">
        <v>144</v>
      </c>
      <c r="Q13" s="49">
        <v>0</v>
      </c>
      <c r="R13" s="49">
        <v>0</v>
      </c>
      <c r="S13" s="49">
        <v>0</v>
      </c>
      <c r="T13" s="47" t="s">
        <v>144</v>
      </c>
      <c r="U13" s="49">
        <v>0</v>
      </c>
      <c r="V13" s="49">
        <v>0</v>
      </c>
      <c r="W13" s="49">
        <v>0</v>
      </c>
      <c r="X13" s="47" t="s">
        <v>144</v>
      </c>
      <c r="Y13" s="49">
        <v>1</v>
      </c>
      <c r="Z13" s="49">
        <v>0</v>
      </c>
      <c r="AA13" s="49">
        <v>2</v>
      </c>
      <c r="AB13" s="47" t="s">
        <v>144</v>
      </c>
      <c r="AC13" s="49">
        <v>0</v>
      </c>
      <c r="AD13" s="49">
        <v>0</v>
      </c>
      <c r="AE13" s="49">
        <v>0</v>
      </c>
      <c r="AF13" s="47" t="s">
        <v>144</v>
      </c>
      <c r="AG13" s="49">
        <v>0</v>
      </c>
      <c r="AH13" s="49">
        <v>0</v>
      </c>
      <c r="AI13" s="49">
        <v>0</v>
      </c>
      <c r="AJ13" s="47" t="s">
        <v>144</v>
      </c>
      <c r="AK13" s="49">
        <v>0</v>
      </c>
      <c r="AL13" s="49">
        <v>0</v>
      </c>
      <c r="AM13" s="49">
        <v>0</v>
      </c>
      <c r="AN13" s="47" t="s">
        <v>144</v>
      </c>
      <c r="AO13" s="49">
        <v>0</v>
      </c>
      <c r="AP13" s="49">
        <v>0</v>
      </c>
      <c r="AQ13" s="49">
        <v>0</v>
      </c>
      <c r="AR13" s="47" t="s">
        <v>144</v>
      </c>
      <c r="AS13" s="49">
        <v>0</v>
      </c>
      <c r="AT13" s="49">
        <v>0</v>
      </c>
      <c r="AU13" s="49">
        <v>0</v>
      </c>
      <c r="AV13" s="47" t="s">
        <v>144</v>
      </c>
      <c r="AW13" s="49">
        <v>0</v>
      </c>
      <c r="AX13" s="49">
        <v>0</v>
      </c>
      <c r="AY13" s="49">
        <v>0</v>
      </c>
      <c r="AZ13" s="47" t="s">
        <v>144</v>
      </c>
      <c r="BA13" s="49">
        <f t="shared" si="18"/>
        <v>1</v>
      </c>
      <c r="BB13" s="49">
        <f t="shared" si="19"/>
        <v>0</v>
      </c>
      <c r="BC13" s="49">
        <f t="shared" si="20"/>
        <v>2</v>
      </c>
      <c r="BD13" s="47" t="s">
        <v>144</v>
      </c>
      <c r="BE13" s="49">
        <v>0</v>
      </c>
      <c r="BF13" s="49">
        <v>0</v>
      </c>
      <c r="BG13" s="49">
        <v>0</v>
      </c>
      <c r="BH13" s="47" t="s">
        <v>144</v>
      </c>
      <c r="BI13" s="49">
        <v>0</v>
      </c>
      <c r="BJ13" s="49">
        <v>0</v>
      </c>
      <c r="BK13" s="49">
        <v>0</v>
      </c>
      <c r="BL13" s="47" t="s">
        <v>144</v>
      </c>
      <c r="BM13" s="49">
        <v>0</v>
      </c>
      <c r="BN13" s="49">
        <v>0</v>
      </c>
      <c r="BO13" s="49">
        <v>0</v>
      </c>
      <c r="BP13" s="47" t="s">
        <v>144</v>
      </c>
      <c r="BQ13" s="49">
        <v>0</v>
      </c>
      <c r="BR13" s="49">
        <v>0</v>
      </c>
      <c r="BS13" s="49">
        <v>0</v>
      </c>
      <c r="BT13" s="47" t="s">
        <v>144</v>
      </c>
      <c r="BU13" s="76">
        <f>SUM(BA13:BC13)</f>
        <v>3</v>
      </c>
      <c r="BV13" s="47" t="s">
        <v>144</v>
      </c>
      <c r="BW13" s="49">
        <f t="shared" si="21"/>
        <v>1</v>
      </c>
      <c r="BX13" s="49">
        <f t="shared" si="22"/>
        <v>500</v>
      </c>
    </row>
    <row r="14" spans="1:76" x14ac:dyDescent="0.25">
      <c r="A14" t="s">
        <v>153</v>
      </c>
      <c r="B14" t="s">
        <v>170</v>
      </c>
      <c r="C14" t="s">
        <v>170</v>
      </c>
      <c r="D14" t="s">
        <v>857</v>
      </c>
      <c r="E14" s="47" t="s">
        <v>144</v>
      </c>
      <c r="F14" s="49">
        <v>0</v>
      </c>
      <c r="G14" s="49">
        <v>6</v>
      </c>
      <c r="H14" s="47" t="s">
        <v>144</v>
      </c>
      <c r="I14" s="49">
        <v>0</v>
      </c>
      <c r="J14" s="48">
        <v>0</v>
      </c>
      <c r="K14" s="48">
        <v>0</v>
      </c>
      <c r="L14" s="47" t="s">
        <v>144</v>
      </c>
      <c r="M14" s="49">
        <v>0</v>
      </c>
      <c r="N14" s="49">
        <v>0</v>
      </c>
      <c r="O14" s="49">
        <v>0</v>
      </c>
      <c r="P14" s="47" t="s">
        <v>144</v>
      </c>
      <c r="Q14" s="49">
        <v>0</v>
      </c>
      <c r="R14" s="49">
        <v>0</v>
      </c>
      <c r="S14" s="49">
        <v>0</v>
      </c>
      <c r="T14" s="47" t="s">
        <v>144</v>
      </c>
      <c r="U14" s="49">
        <v>0</v>
      </c>
      <c r="V14" s="49">
        <v>1</v>
      </c>
      <c r="W14" s="49">
        <v>2</v>
      </c>
      <c r="X14" s="47" t="s">
        <v>144</v>
      </c>
      <c r="Y14" s="49">
        <v>0</v>
      </c>
      <c r="Z14" s="49">
        <v>0</v>
      </c>
      <c r="AA14" s="49">
        <v>0</v>
      </c>
      <c r="AB14" s="47" t="s">
        <v>144</v>
      </c>
      <c r="AC14" s="49">
        <v>0</v>
      </c>
      <c r="AD14" s="49">
        <v>0</v>
      </c>
      <c r="AE14" s="49">
        <v>0</v>
      </c>
      <c r="AF14" s="47" t="s">
        <v>144</v>
      </c>
      <c r="AG14" s="49">
        <v>0</v>
      </c>
      <c r="AH14" s="49">
        <v>0</v>
      </c>
      <c r="AI14" s="49">
        <v>0</v>
      </c>
      <c r="AJ14" s="47" t="s">
        <v>144</v>
      </c>
      <c r="AK14" s="49">
        <v>0</v>
      </c>
      <c r="AL14" s="49">
        <v>0</v>
      </c>
      <c r="AM14" s="49">
        <v>0</v>
      </c>
      <c r="AN14" s="47" t="s">
        <v>144</v>
      </c>
      <c r="AO14" s="49">
        <v>0</v>
      </c>
      <c r="AP14" s="49">
        <v>0</v>
      </c>
      <c r="AQ14" s="49">
        <v>0</v>
      </c>
      <c r="AR14" s="47" t="s">
        <v>144</v>
      </c>
      <c r="AS14" s="49">
        <v>0</v>
      </c>
      <c r="AT14" s="49">
        <v>0</v>
      </c>
      <c r="AU14" s="49">
        <v>0</v>
      </c>
      <c r="AV14" s="47" t="s">
        <v>144</v>
      </c>
      <c r="AW14" s="49">
        <v>0</v>
      </c>
      <c r="AX14" s="49">
        <v>0</v>
      </c>
      <c r="AY14" s="49">
        <v>0</v>
      </c>
      <c r="AZ14" s="47" t="s">
        <v>144</v>
      </c>
      <c r="BA14" s="49">
        <f t="shared" si="18"/>
        <v>0</v>
      </c>
      <c r="BB14" s="49">
        <f t="shared" si="19"/>
        <v>1</v>
      </c>
      <c r="BC14" s="49">
        <f t="shared" si="20"/>
        <v>2</v>
      </c>
      <c r="BD14" s="47" t="s">
        <v>144</v>
      </c>
      <c r="BE14" s="49">
        <v>0</v>
      </c>
      <c r="BF14" s="49">
        <v>0</v>
      </c>
      <c r="BG14" s="49">
        <v>0</v>
      </c>
      <c r="BH14" s="47" t="s">
        <v>144</v>
      </c>
      <c r="BI14" s="49">
        <v>0</v>
      </c>
      <c r="BJ14" s="49">
        <v>0</v>
      </c>
      <c r="BK14" s="49">
        <v>0</v>
      </c>
      <c r="BL14" s="47" t="s">
        <v>144</v>
      </c>
      <c r="BM14" s="49">
        <v>0</v>
      </c>
      <c r="BN14" s="49">
        <v>0</v>
      </c>
      <c r="BO14" s="49">
        <v>0</v>
      </c>
      <c r="BP14" s="47" t="s">
        <v>144</v>
      </c>
      <c r="BQ14" s="49">
        <v>0</v>
      </c>
      <c r="BR14" s="49">
        <v>0</v>
      </c>
      <c r="BS14" s="49">
        <v>0</v>
      </c>
      <c r="BT14" s="47" t="s">
        <v>144</v>
      </c>
      <c r="BU14" s="76">
        <f>SUM(BA14:BC14)</f>
        <v>3</v>
      </c>
      <c r="BV14" s="47" t="s">
        <v>144</v>
      </c>
      <c r="BW14" s="49">
        <f t="shared" si="21"/>
        <v>1</v>
      </c>
      <c r="BX14" s="49">
        <f t="shared" si="22"/>
        <v>500</v>
      </c>
    </row>
    <row r="15" spans="1:76" x14ac:dyDescent="0.25">
      <c r="A15" t="s">
        <v>154</v>
      </c>
      <c r="B15" t="s">
        <v>171</v>
      </c>
      <c r="C15" t="s">
        <v>335</v>
      </c>
      <c r="D15" t="s">
        <v>854</v>
      </c>
      <c r="E15" s="47" t="s">
        <v>144</v>
      </c>
      <c r="F15" s="49">
        <v>10</v>
      </c>
      <c r="G15" s="49">
        <v>0</v>
      </c>
      <c r="H15" s="47" t="s">
        <v>144</v>
      </c>
      <c r="I15" s="49">
        <v>0</v>
      </c>
      <c r="J15" s="48">
        <v>0</v>
      </c>
      <c r="K15" s="48">
        <v>0</v>
      </c>
      <c r="L15" s="47" t="s">
        <v>144</v>
      </c>
      <c r="M15" s="49">
        <v>0</v>
      </c>
      <c r="N15" s="49">
        <v>0</v>
      </c>
      <c r="O15" s="49">
        <v>0</v>
      </c>
      <c r="P15" s="47" t="s">
        <v>144</v>
      </c>
      <c r="Q15" s="49">
        <v>0</v>
      </c>
      <c r="R15" s="49">
        <v>0</v>
      </c>
      <c r="S15" s="49">
        <v>0</v>
      </c>
      <c r="T15" s="47" t="s">
        <v>144</v>
      </c>
      <c r="U15" s="49">
        <v>1</v>
      </c>
      <c r="V15" s="49">
        <v>0</v>
      </c>
      <c r="W15" s="49">
        <v>2</v>
      </c>
      <c r="X15" s="47" t="s">
        <v>144</v>
      </c>
      <c r="Y15" s="49">
        <v>0</v>
      </c>
      <c r="Z15" s="49">
        <v>0</v>
      </c>
      <c r="AA15" s="49">
        <v>0</v>
      </c>
      <c r="AB15" s="47" t="s">
        <v>144</v>
      </c>
      <c r="AC15" s="49">
        <v>0</v>
      </c>
      <c r="AD15" s="49">
        <v>0</v>
      </c>
      <c r="AE15" s="49">
        <v>0</v>
      </c>
      <c r="AF15" s="47" t="s">
        <v>144</v>
      </c>
      <c r="AG15" s="49">
        <v>0</v>
      </c>
      <c r="AH15" s="49">
        <v>0</v>
      </c>
      <c r="AI15" s="49">
        <v>0</v>
      </c>
      <c r="AJ15" s="47" t="s">
        <v>144</v>
      </c>
      <c r="AK15" s="49">
        <v>0</v>
      </c>
      <c r="AL15" s="49">
        <v>0</v>
      </c>
      <c r="AM15" s="49">
        <v>0</v>
      </c>
      <c r="AN15" s="47" t="s">
        <v>144</v>
      </c>
      <c r="AO15" s="49">
        <v>0</v>
      </c>
      <c r="AP15" s="49">
        <v>0</v>
      </c>
      <c r="AQ15" s="49">
        <v>0</v>
      </c>
      <c r="AR15" s="47" t="s">
        <v>144</v>
      </c>
      <c r="AS15" s="49">
        <v>0</v>
      </c>
      <c r="AT15" s="49">
        <v>0</v>
      </c>
      <c r="AU15" s="49">
        <v>0</v>
      </c>
      <c r="AV15" s="47" t="s">
        <v>144</v>
      </c>
      <c r="AW15" s="49">
        <v>0</v>
      </c>
      <c r="AX15" s="49">
        <v>0</v>
      </c>
      <c r="AY15" s="49">
        <v>0</v>
      </c>
      <c r="AZ15" s="47" t="s">
        <v>144</v>
      </c>
      <c r="BA15" s="49">
        <f t="shared" si="18"/>
        <v>1</v>
      </c>
      <c r="BB15" s="49">
        <f t="shared" si="19"/>
        <v>0</v>
      </c>
      <c r="BC15" s="49">
        <f t="shared" si="20"/>
        <v>2</v>
      </c>
      <c r="BD15" s="47" t="s">
        <v>144</v>
      </c>
      <c r="BE15" s="49">
        <v>0</v>
      </c>
      <c r="BF15" s="49">
        <v>0</v>
      </c>
      <c r="BG15" s="49">
        <v>0</v>
      </c>
      <c r="BH15" s="47" t="s">
        <v>144</v>
      </c>
      <c r="BI15" s="49">
        <v>0</v>
      </c>
      <c r="BJ15" s="49">
        <v>0</v>
      </c>
      <c r="BK15" s="49">
        <v>0</v>
      </c>
      <c r="BL15" s="47" t="s">
        <v>144</v>
      </c>
      <c r="BM15" s="49">
        <v>0</v>
      </c>
      <c r="BN15" s="49">
        <v>0</v>
      </c>
      <c r="BO15" s="49">
        <v>0</v>
      </c>
      <c r="BP15" s="47" t="s">
        <v>144</v>
      </c>
      <c r="BQ15" s="49">
        <v>0</v>
      </c>
      <c r="BR15" s="49">
        <v>0</v>
      </c>
      <c r="BS15" s="49">
        <v>0</v>
      </c>
      <c r="BT15" s="47" t="s">
        <v>144</v>
      </c>
      <c r="BU15" s="76">
        <f>SUM(BA15:BC15)</f>
        <v>3</v>
      </c>
      <c r="BV15" s="47" t="s">
        <v>144</v>
      </c>
      <c r="BW15" s="49">
        <f t="shared" si="21"/>
        <v>1</v>
      </c>
      <c r="BX15" s="49">
        <f t="shared" si="22"/>
        <v>500</v>
      </c>
    </row>
    <row r="16" spans="1:76" x14ac:dyDescent="0.25">
      <c r="A16" t="s">
        <v>546</v>
      </c>
      <c r="B16" t="s">
        <v>547</v>
      </c>
      <c r="C16" t="s">
        <v>338</v>
      </c>
      <c r="D16" t="s">
        <v>857</v>
      </c>
      <c r="E16" s="47" t="s">
        <v>144</v>
      </c>
      <c r="F16" s="49">
        <v>4</v>
      </c>
      <c r="G16" s="49">
        <v>0</v>
      </c>
      <c r="H16" s="47" t="s">
        <v>144</v>
      </c>
      <c r="I16" s="49">
        <v>0</v>
      </c>
      <c r="J16" s="48">
        <v>0</v>
      </c>
      <c r="K16" s="48">
        <v>0</v>
      </c>
      <c r="L16" s="47" t="s">
        <v>144</v>
      </c>
      <c r="M16" s="49">
        <v>0</v>
      </c>
      <c r="N16" s="49">
        <v>0</v>
      </c>
      <c r="O16" s="49">
        <v>0</v>
      </c>
      <c r="P16" s="47" t="s">
        <v>144</v>
      </c>
      <c r="Q16" s="49">
        <v>0</v>
      </c>
      <c r="R16" s="49">
        <v>0</v>
      </c>
      <c r="S16" s="49">
        <v>0</v>
      </c>
      <c r="T16" s="47" t="s">
        <v>144</v>
      </c>
      <c r="U16" s="49">
        <v>0</v>
      </c>
      <c r="V16" s="49">
        <v>0</v>
      </c>
      <c r="W16" s="49">
        <v>0</v>
      </c>
      <c r="X16" s="47" t="s">
        <v>144</v>
      </c>
      <c r="Y16" s="49">
        <v>0</v>
      </c>
      <c r="Z16" s="49">
        <v>0</v>
      </c>
      <c r="AA16" s="49">
        <v>0</v>
      </c>
      <c r="AB16" s="47" t="s">
        <v>144</v>
      </c>
      <c r="AC16" s="49">
        <v>0</v>
      </c>
      <c r="AD16" s="49">
        <v>0</v>
      </c>
      <c r="AE16" s="49">
        <v>0</v>
      </c>
      <c r="AF16" s="47" t="s">
        <v>144</v>
      </c>
      <c r="AG16" s="49">
        <v>0</v>
      </c>
      <c r="AH16" s="49">
        <v>0</v>
      </c>
      <c r="AI16" s="49">
        <v>0</v>
      </c>
      <c r="AJ16" s="47" t="s">
        <v>144</v>
      </c>
      <c r="AK16" s="49">
        <v>0</v>
      </c>
      <c r="AL16" s="49">
        <v>0</v>
      </c>
      <c r="AM16" s="49">
        <v>0</v>
      </c>
      <c r="AN16" s="47" t="s">
        <v>144</v>
      </c>
      <c r="AO16" s="49">
        <v>0</v>
      </c>
      <c r="AP16" s="49">
        <v>0</v>
      </c>
      <c r="AQ16" s="49">
        <v>0</v>
      </c>
      <c r="AR16" s="47" t="s">
        <v>144</v>
      </c>
      <c r="AS16" s="49">
        <v>0</v>
      </c>
      <c r="AT16" s="49">
        <v>0</v>
      </c>
      <c r="AU16" s="49">
        <v>0</v>
      </c>
      <c r="AV16" s="47" t="s">
        <v>144</v>
      </c>
      <c r="AW16" s="49">
        <v>0</v>
      </c>
      <c r="AX16" s="49">
        <v>0</v>
      </c>
      <c r="AY16" s="49">
        <v>0</v>
      </c>
      <c r="AZ16" s="47" t="s">
        <v>144</v>
      </c>
      <c r="BA16" s="49">
        <f t="shared" si="18"/>
        <v>0</v>
      </c>
      <c r="BB16" s="49">
        <f t="shared" si="19"/>
        <v>0</v>
      </c>
      <c r="BC16" s="49">
        <f t="shared" si="20"/>
        <v>0</v>
      </c>
      <c r="BD16" s="47" t="s">
        <v>144</v>
      </c>
      <c r="BE16" s="49">
        <v>0</v>
      </c>
      <c r="BF16" s="49">
        <v>0</v>
      </c>
      <c r="BG16" s="49">
        <v>0</v>
      </c>
      <c r="BH16" s="47" t="s">
        <v>144</v>
      </c>
      <c r="BI16" s="49">
        <v>0</v>
      </c>
      <c r="BJ16" s="49">
        <v>0</v>
      </c>
      <c r="BK16" s="49">
        <v>0</v>
      </c>
      <c r="BL16" s="47" t="s">
        <v>144</v>
      </c>
      <c r="BM16" s="49">
        <v>0</v>
      </c>
      <c r="BN16" s="49">
        <v>0</v>
      </c>
      <c r="BO16" s="49">
        <v>0</v>
      </c>
      <c r="BP16" s="47" t="s">
        <v>144</v>
      </c>
      <c r="BQ16" s="49">
        <v>0</v>
      </c>
      <c r="BR16" s="49">
        <v>0</v>
      </c>
      <c r="BS16" s="49">
        <v>0</v>
      </c>
      <c r="BT16" s="47" t="s">
        <v>144</v>
      </c>
      <c r="BU16" s="76">
        <f>SUM(BA16:BC16)</f>
        <v>0</v>
      </c>
      <c r="BV16" s="47" t="s">
        <v>144</v>
      </c>
      <c r="BW16" s="49">
        <f t="shared" si="21"/>
        <v>0</v>
      </c>
      <c r="BX16" s="49">
        <f t="shared" si="22"/>
        <v>0</v>
      </c>
    </row>
    <row r="17" spans="1:76" x14ac:dyDescent="0.25">
      <c r="A17" t="s">
        <v>89</v>
      </c>
      <c r="B17" t="s">
        <v>172</v>
      </c>
      <c r="C17" t="s">
        <v>328</v>
      </c>
      <c r="D17" t="s">
        <v>856</v>
      </c>
      <c r="E17" s="47" t="s">
        <v>144</v>
      </c>
      <c r="F17" s="49">
        <v>0</v>
      </c>
      <c r="G17" s="49">
        <v>4</v>
      </c>
      <c r="H17" s="47" t="s">
        <v>144</v>
      </c>
      <c r="I17" s="49">
        <v>0</v>
      </c>
      <c r="J17" s="48">
        <v>0</v>
      </c>
      <c r="K17" s="48">
        <v>0</v>
      </c>
      <c r="L17" s="47" t="s">
        <v>144</v>
      </c>
      <c r="M17" s="49">
        <v>0</v>
      </c>
      <c r="N17" s="49">
        <v>0</v>
      </c>
      <c r="O17" s="49">
        <v>0</v>
      </c>
      <c r="P17" s="47" t="s">
        <v>144</v>
      </c>
      <c r="Q17" s="49">
        <v>0</v>
      </c>
      <c r="R17" s="49">
        <v>1</v>
      </c>
      <c r="S17" s="49">
        <v>0</v>
      </c>
      <c r="T17" s="47" t="s">
        <v>144</v>
      </c>
      <c r="U17" s="49">
        <v>0</v>
      </c>
      <c r="V17" s="49">
        <v>0</v>
      </c>
      <c r="W17" s="49">
        <v>0</v>
      </c>
      <c r="X17" s="47" t="s">
        <v>144</v>
      </c>
      <c r="Y17" s="49">
        <v>0</v>
      </c>
      <c r="Z17" s="49">
        <v>2</v>
      </c>
      <c r="AA17" s="49">
        <v>0</v>
      </c>
      <c r="AB17" s="47" t="s">
        <v>144</v>
      </c>
      <c r="AC17" s="49">
        <v>0</v>
      </c>
      <c r="AD17" s="49">
        <v>0</v>
      </c>
      <c r="AE17" s="49">
        <v>0</v>
      </c>
      <c r="AF17" s="47" t="s">
        <v>144</v>
      </c>
      <c r="AG17" s="49">
        <v>0</v>
      </c>
      <c r="AH17" s="49">
        <v>0</v>
      </c>
      <c r="AI17" s="49">
        <v>0</v>
      </c>
      <c r="AJ17" s="47" t="s">
        <v>144</v>
      </c>
      <c r="AK17" s="49">
        <v>0</v>
      </c>
      <c r="AL17" s="49">
        <v>0</v>
      </c>
      <c r="AM17" s="49">
        <v>0</v>
      </c>
      <c r="AN17" s="47" t="s">
        <v>144</v>
      </c>
      <c r="AO17" s="49">
        <v>0</v>
      </c>
      <c r="AP17" s="49">
        <v>0</v>
      </c>
      <c r="AQ17" s="49">
        <v>0</v>
      </c>
      <c r="AR17" s="47" t="s">
        <v>144</v>
      </c>
      <c r="AS17" s="49">
        <v>0</v>
      </c>
      <c r="AT17" s="49">
        <v>0</v>
      </c>
      <c r="AU17" s="49">
        <v>0</v>
      </c>
      <c r="AV17" s="47" t="s">
        <v>144</v>
      </c>
      <c r="AW17" s="49">
        <v>0</v>
      </c>
      <c r="AX17" s="49">
        <v>0</v>
      </c>
      <c r="AY17" s="49">
        <v>0</v>
      </c>
      <c r="AZ17" s="47" t="s">
        <v>144</v>
      </c>
      <c r="BA17" s="49">
        <f t="shared" si="18"/>
        <v>0</v>
      </c>
      <c r="BB17" s="49">
        <f t="shared" si="19"/>
        <v>3</v>
      </c>
      <c r="BC17" s="49">
        <f t="shared" si="20"/>
        <v>0</v>
      </c>
      <c r="BD17" s="47" t="s">
        <v>144</v>
      </c>
      <c r="BE17" s="49">
        <v>0</v>
      </c>
      <c r="BF17" s="49">
        <v>0</v>
      </c>
      <c r="BG17" s="49">
        <v>0</v>
      </c>
      <c r="BH17" s="47" t="s">
        <v>144</v>
      </c>
      <c r="BI17" s="49">
        <v>0</v>
      </c>
      <c r="BJ17" s="49">
        <v>0</v>
      </c>
      <c r="BK17" s="49">
        <v>0</v>
      </c>
      <c r="BL17" s="47" t="s">
        <v>144</v>
      </c>
      <c r="BM17" s="49">
        <v>0</v>
      </c>
      <c r="BN17" s="49">
        <v>0</v>
      </c>
      <c r="BO17" s="49">
        <v>0</v>
      </c>
      <c r="BP17" s="47" t="s">
        <v>144</v>
      </c>
      <c r="BQ17" s="49">
        <v>0</v>
      </c>
      <c r="BR17" s="49">
        <v>0</v>
      </c>
      <c r="BS17" s="49">
        <v>0</v>
      </c>
      <c r="BT17" s="47" t="s">
        <v>144</v>
      </c>
      <c r="BU17" s="76">
        <f>SUM(BA17:BC17)</f>
        <v>3</v>
      </c>
      <c r="BV17" s="47" t="s">
        <v>144</v>
      </c>
      <c r="BW17" s="49">
        <f t="shared" si="21"/>
        <v>3</v>
      </c>
      <c r="BX17" s="49">
        <f t="shared" si="22"/>
        <v>1500</v>
      </c>
    </row>
    <row r="18" spans="1:76" x14ac:dyDescent="0.25">
      <c r="A18" t="s">
        <v>155</v>
      </c>
      <c r="B18" t="s">
        <v>173</v>
      </c>
      <c r="C18" t="s">
        <v>524</v>
      </c>
      <c r="D18" t="s">
        <v>854</v>
      </c>
      <c r="E18" s="47" t="s">
        <v>144</v>
      </c>
      <c r="F18" s="49">
        <v>1</v>
      </c>
      <c r="G18" s="49">
        <v>0</v>
      </c>
      <c r="H18" s="47" t="s">
        <v>144</v>
      </c>
      <c r="I18" s="49">
        <v>0</v>
      </c>
      <c r="J18" s="48">
        <v>0</v>
      </c>
      <c r="K18" s="48">
        <v>0</v>
      </c>
      <c r="L18" s="47" t="s">
        <v>144</v>
      </c>
      <c r="M18" s="49">
        <v>0</v>
      </c>
      <c r="N18" s="49">
        <v>0</v>
      </c>
      <c r="O18" s="49">
        <v>0</v>
      </c>
      <c r="P18" s="47" t="s">
        <v>144</v>
      </c>
      <c r="Q18" s="49">
        <v>0</v>
      </c>
      <c r="R18" s="49">
        <v>0</v>
      </c>
      <c r="S18" s="49">
        <v>0</v>
      </c>
      <c r="T18" s="47" t="s">
        <v>144</v>
      </c>
      <c r="U18" s="49">
        <v>0</v>
      </c>
      <c r="V18" s="49">
        <v>0</v>
      </c>
      <c r="W18" s="49">
        <v>0</v>
      </c>
      <c r="X18" s="47" t="s">
        <v>144</v>
      </c>
      <c r="Y18" s="49">
        <v>0</v>
      </c>
      <c r="Z18" s="49">
        <v>0</v>
      </c>
      <c r="AA18" s="49">
        <v>0</v>
      </c>
      <c r="AB18" s="47" t="s">
        <v>144</v>
      </c>
      <c r="AC18" s="49">
        <v>0</v>
      </c>
      <c r="AD18" s="49">
        <v>0</v>
      </c>
      <c r="AE18" s="49">
        <v>0</v>
      </c>
      <c r="AF18" s="47" t="s">
        <v>144</v>
      </c>
      <c r="AG18" s="49">
        <v>1</v>
      </c>
      <c r="AH18" s="49">
        <v>0</v>
      </c>
      <c r="AI18" s="49">
        <v>2</v>
      </c>
      <c r="AJ18" s="47" t="s">
        <v>144</v>
      </c>
      <c r="AK18" s="49">
        <v>0</v>
      </c>
      <c r="AL18" s="49">
        <v>0</v>
      </c>
      <c r="AM18" s="49">
        <v>0</v>
      </c>
      <c r="AN18" s="47" t="s">
        <v>144</v>
      </c>
      <c r="AO18" s="49">
        <v>0</v>
      </c>
      <c r="AP18" s="49">
        <v>0</v>
      </c>
      <c r="AQ18" s="49">
        <v>0</v>
      </c>
      <c r="AR18" s="47" t="s">
        <v>144</v>
      </c>
      <c r="AS18" s="49">
        <v>0</v>
      </c>
      <c r="AT18" s="49">
        <v>0</v>
      </c>
      <c r="AU18" s="49">
        <v>0</v>
      </c>
      <c r="AV18" s="47" t="s">
        <v>144</v>
      </c>
      <c r="AW18" s="49">
        <v>0</v>
      </c>
      <c r="AX18" s="49">
        <v>0</v>
      </c>
      <c r="AY18" s="49">
        <v>0</v>
      </c>
      <c r="AZ18" s="47" t="s">
        <v>144</v>
      </c>
      <c r="BA18" s="49">
        <f t="shared" si="18"/>
        <v>1</v>
      </c>
      <c r="BB18" s="49">
        <f t="shared" si="19"/>
        <v>0</v>
      </c>
      <c r="BC18" s="49">
        <f t="shared" si="20"/>
        <v>2</v>
      </c>
      <c r="BD18" s="47" t="s">
        <v>144</v>
      </c>
      <c r="BE18" s="49">
        <v>0</v>
      </c>
      <c r="BF18" s="49">
        <v>0</v>
      </c>
      <c r="BG18" s="49">
        <v>0</v>
      </c>
      <c r="BH18" s="47" t="s">
        <v>144</v>
      </c>
      <c r="BI18" s="49">
        <v>0</v>
      </c>
      <c r="BJ18" s="49">
        <v>0</v>
      </c>
      <c r="BK18" s="49">
        <v>0</v>
      </c>
      <c r="BL18" s="47" t="s">
        <v>144</v>
      </c>
      <c r="BM18" s="49">
        <v>0</v>
      </c>
      <c r="BN18" s="49">
        <v>0</v>
      </c>
      <c r="BO18" s="49">
        <v>0</v>
      </c>
      <c r="BP18" s="47" t="s">
        <v>144</v>
      </c>
      <c r="BQ18" s="49">
        <v>0</v>
      </c>
      <c r="BR18" s="49">
        <v>0</v>
      </c>
      <c r="BS18" s="49">
        <v>0</v>
      </c>
      <c r="BT18" s="47" t="s">
        <v>144</v>
      </c>
      <c r="BU18" s="76">
        <f>SUM(BA18:BC18)</f>
        <v>3</v>
      </c>
      <c r="BV18" s="47" t="s">
        <v>144</v>
      </c>
      <c r="BW18" s="49">
        <f t="shared" si="21"/>
        <v>1</v>
      </c>
      <c r="BX18" s="49">
        <f t="shared" si="22"/>
        <v>500</v>
      </c>
    </row>
    <row r="19" spans="1:76" x14ac:dyDescent="0.25">
      <c r="A19" t="s">
        <v>156</v>
      </c>
      <c r="B19" t="s">
        <v>174</v>
      </c>
      <c r="C19" t="s">
        <v>341</v>
      </c>
      <c r="D19" t="s">
        <v>857</v>
      </c>
      <c r="E19" s="47" t="s">
        <v>144</v>
      </c>
      <c r="F19" s="49">
        <v>10</v>
      </c>
      <c r="G19" s="49">
        <v>11</v>
      </c>
      <c r="H19" s="47" t="s">
        <v>144</v>
      </c>
      <c r="I19" s="49">
        <v>0</v>
      </c>
      <c r="J19" s="48">
        <v>0</v>
      </c>
      <c r="K19" s="48">
        <v>0</v>
      </c>
      <c r="L19" s="47" t="s">
        <v>144</v>
      </c>
      <c r="M19" s="49">
        <v>0</v>
      </c>
      <c r="N19" s="49">
        <v>0</v>
      </c>
      <c r="O19" s="49">
        <v>0</v>
      </c>
      <c r="P19" s="47" t="s">
        <v>144</v>
      </c>
      <c r="Q19" s="49">
        <v>0</v>
      </c>
      <c r="R19" s="49">
        <v>0</v>
      </c>
      <c r="S19" s="49">
        <v>0</v>
      </c>
      <c r="T19" s="47" t="s">
        <v>144</v>
      </c>
      <c r="U19" s="49">
        <v>0</v>
      </c>
      <c r="V19" s="49">
        <v>0</v>
      </c>
      <c r="W19" s="49">
        <v>0</v>
      </c>
      <c r="X19" s="47" t="s">
        <v>144</v>
      </c>
      <c r="Y19" s="49">
        <v>0</v>
      </c>
      <c r="Z19" s="49">
        <v>0</v>
      </c>
      <c r="AA19" s="49">
        <v>0</v>
      </c>
      <c r="AB19" s="47" t="s">
        <v>144</v>
      </c>
      <c r="AC19" s="49">
        <v>3</v>
      </c>
      <c r="AD19" s="49">
        <v>0</v>
      </c>
      <c r="AE19" s="49">
        <v>6</v>
      </c>
      <c r="AF19" s="47" t="s">
        <v>144</v>
      </c>
      <c r="AG19" s="49">
        <v>0</v>
      </c>
      <c r="AH19" s="49">
        <v>0</v>
      </c>
      <c r="AI19" s="49">
        <v>0</v>
      </c>
      <c r="AJ19" s="47" t="s">
        <v>144</v>
      </c>
      <c r="AK19" s="49">
        <v>0</v>
      </c>
      <c r="AL19" s="49">
        <v>0</v>
      </c>
      <c r="AM19" s="49">
        <v>0</v>
      </c>
      <c r="AN19" s="47" t="s">
        <v>144</v>
      </c>
      <c r="AO19" s="49">
        <v>0</v>
      </c>
      <c r="AP19" s="49">
        <v>0</v>
      </c>
      <c r="AQ19" s="49">
        <v>0</v>
      </c>
      <c r="AR19" s="47" t="s">
        <v>144</v>
      </c>
      <c r="AS19" s="49">
        <v>0</v>
      </c>
      <c r="AT19" s="49">
        <v>0</v>
      </c>
      <c r="AU19" s="49">
        <v>0</v>
      </c>
      <c r="AV19" s="47" t="s">
        <v>144</v>
      </c>
      <c r="AW19" s="49">
        <v>0</v>
      </c>
      <c r="AX19" s="49">
        <v>0</v>
      </c>
      <c r="AY19" s="49">
        <v>0</v>
      </c>
      <c r="AZ19" s="47" t="s">
        <v>144</v>
      </c>
      <c r="BA19" s="49">
        <f t="shared" si="18"/>
        <v>3</v>
      </c>
      <c r="BB19" s="49">
        <f t="shared" si="19"/>
        <v>0</v>
      </c>
      <c r="BC19" s="49">
        <f t="shared" si="20"/>
        <v>6</v>
      </c>
      <c r="BD19" s="47" t="s">
        <v>144</v>
      </c>
      <c r="BE19" s="49">
        <v>0</v>
      </c>
      <c r="BF19" s="49">
        <v>0</v>
      </c>
      <c r="BG19" s="49">
        <v>0</v>
      </c>
      <c r="BH19" s="47" t="s">
        <v>144</v>
      </c>
      <c r="BI19" s="49">
        <v>0</v>
      </c>
      <c r="BJ19" s="49">
        <v>0</v>
      </c>
      <c r="BK19" s="49">
        <v>0</v>
      </c>
      <c r="BL19" s="47" t="s">
        <v>144</v>
      </c>
      <c r="BM19" s="49">
        <v>0</v>
      </c>
      <c r="BN19" s="49">
        <v>0</v>
      </c>
      <c r="BO19" s="49">
        <v>0</v>
      </c>
      <c r="BP19" s="47" t="s">
        <v>144</v>
      </c>
      <c r="BQ19" s="49">
        <v>0</v>
      </c>
      <c r="BR19" s="49">
        <v>0</v>
      </c>
      <c r="BS19" s="49">
        <v>0</v>
      </c>
      <c r="BT19" s="47" t="s">
        <v>144</v>
      </c>
      <c r="BU19" s="76">
        <f>SUM(BA19:BC19)</f>
        <v>9</v>
      </c>
      <c r="BV19" s="47" t="s">
        <v>144</v>
      </c>
      <c r="BW19" s="49">
        <f t="shared" si="21"/>
        <v>3</v>
      </c>
      <c r="BX19" s="49">
        <f t="shared" si="22"/>
        <v>1500</v>
      </c>
    </row>
    <row r="20" spans="1:76" x14ac:dyDescent="0.25">
      <c r="A20" t="s">
        <v>6</v>
      </c>
      <c r="B20" t="s">
        <v>175</v>
      </c>
      <c r="C20" t="s">
        <v>330</v>
      </c>
      <c r="D20" t="s">
        <v>855</v>
      </c>
      <c r="E20" s="47" t="s">
        <v>144</v>
      </c>
      <c r="F20" s="49">
        <v>0</v>
      </c>
      <c r="G20" s="49">
        <v>8</v>
      </c>
      <c r="H20" s="47" t="s">
        <v>144</v>
      </c>
      <c r="I20" s="49">
        <v>0</v>
      </c>
      <c r="J20" s="48">
        <v>0</v>
      </c>
      <c r="K20" s="48">
        <v>0</v>
      </c>
      <c r="L20" s="47" t="s">
        <v>144</v>
      </c>
      <c r="M20" s="49">
        <v>0</v>
      </c>
      <c r="N20" s="49">
        <v>1</v>
      </c>
      <c r="O20" s="49">
        <v>0</v>
      </c>
      <c r="P20" s="47" t="s">
        <v>144</v>
      </c>
      <c r="Q20" s="49">
        <v>0</v>
      </c>
      <c r="R20" s="49">
        <v>0</v>
      </c>
      <c r="S20" s="49">
        <v>0</v>
      </c>
      <c r="T20" s="47" t="s">
        <v>144</v>
      </c>
      <c r="U20" s="49">
        <v>0</v>
      </c>
      <c r="V20" s="49">
        <v>0</v>
      </c>
      <c r="W20" s="49">
        <v>0</v>
      </c>
      <c r="X20" s="47" t="s">
        <v>144</v>
      </c>
      <c r="Y20" s="49">
        <v>0</v>
      </c>
      <c r="Z20" s="49">
        <v>0</v>
      </c>
      <c r="AA20" s="49">
        <v>0</v>
      </c>
      <c r="AB20" s="47" t="s">
        <v>144</v>
      </c>
      <c r="AC20" s="49">
        <v>0</v>
      </c>
      <c r="AD20" s="49">
        <v>0</v>
      </c>
      <c r="AE20" s="49">
        <v>0</v>
      </c>
      <c r="AF20" s="47" t="s">
        <v>144</v>
      </c>
      <c r="AG20" s="49">
        <v>0</v>
      </c>
      <c r="AH20" s="49">
        <v>0</v>
      </c>
      <c r="AI20" s="49">
        <v>0</v>
      </c>
      <c r="AJ20" s="47" t="s">
        <v>144</v>
      </c>
      <c r="AK20" s="49">
        <v>0</v>
      </c>
      <c r="AL20" s="49">
        <v>0</v>
      </c>
      <c r="AM20" s="49">
        <v>0</v>
      </c>
      <c r="AN20" s="47" t="s">
        <v>144</v>
      </c>
      <c r="AO20" s="49">
        <v>0</v>
      </c>
      <c r="AP20" s="49">
        <v>0</v>
      </c>
      <c r="AQ20" s="49">
        <v>0</v>
      </c>
      <c r="AR20" s="47" t="s">
        <v>144</v>
      </c>
      <c r="AS20" s="49">
        <v>0</v>
      </c>
      <c r="AT20" s="49">
        <v>0</v>
      </c>
      <c r="AU20" s="49">
        <v>0</v>
      </c>
      <c r="AV20" s="47" t="s">
        <v>144</v>
      </c>
      <c r="AW20" s="49">
        <v>0</v>
      </c>
      <c r="AX20" s="49">
        <v>0</v>
      </c>
      <c r="AY20" s="49">
        <v>0</v>
      </c>
      <c r="AZ20" s="47" t="s">
        <v>144</v>
      </c>
      <c r="BA20" s="49">
        <f t="shared" si="18"/>
        <v>0</v>
      </c>
      <c r="BB20" s="49">
        <f t="shared" si="19"/>
        <v>1</v>
      </c>
      <c r="BC20" s="49">
        <f t="shared" si="20"/>
        <v>0</v>
      </c>
      <c r="BD20" s="47" t="s">
        <v>144</v>
      </c>
      <c r="BE20" s="49">
        <v>0</v>
      </c>
      <c r="BF20" s="49">
        <v>0</v>
      </c>
      <c r="BG20" s="49">
        <v>0</v>
      </c>
      <c r="BH20" s="47" t="s">
        <v>144</v>
      </c>
      <c r="BI20" s="49">
        <v>0</v>
      </c>
      <c r="BJ20" s="49">
        <v>0</v>
      </c>
      <c r="BK20" s="49">
        <v>0</v>
      </c>
      <c r="BL20" s="47" t="s">
        <v>144</v>
      </c>
      <c r="BM20" s="49">
        <v>0</v>
      </c>
      <c r="BN20" s="49">
        <v>0</v>
      </c>
      <c r="BO20" s="49">
        <v>0</v>
      </c>
      <c r="BP20" s="47" t="s">
        <v>144</v>
      </c>
      <c r="BQ20" s="49">
        <v>0</v>
      </c>
      <c r="BR20" s="49">
        <v>0</v>
      </c>
      <c r="BS20" s="49">
        <v>0</v>
      </c>
      <c r="BT20" s="47" t="s">
        <v>144</v>
      </c>
      <c r="BU20" s="76">
        <f>SUM(BA20:BC20)</f>
        <v>1</v>
      </c>
      <c r="BV20" s="47" t="s">
        <v>144</v>
      </c>
      <c r="BW20" s="49">
        <f t="shared" si="21"/>
        <v>1</v>
      </c>
      <c r="BX20" s="49">
        <f t="shared" si="22"/>
        <v>500</v>
      </c>
    </row>
    <row r="21" spans="1:76" x14ac:dyDescent="0.25">
      <c r="A21" t="s">
        <v>157</v>
      </c>
      <c r="B21" t="s">
        <v>176</v>
      </c>
      <c r="C21" t="s">
        <v>339</v>
      </c>
      <c r="D21" t="s">
        <v>856</v>
      </c>
      <c r="E21" s="47" t="s">
        <v>144</v>
      </c>
      <c r="F21" s="49">
        <v>9</v>
      </c>
      <c r="G21" s="49">
        <v>0</v>
      </c>
      <c r="H21" s="47" t="s">
        <v>144</v>
      </c>
      <c r="I21" s="49">
        <v>0</v>
      </c>
      <c r="J21" s="48">
        <v>0</v>
      </c>
      <c r="K21" s="48">
        <v>0</v>
      </c>
      <c r="L21" s="47" t="s">
        <v>144</v>
      </c>
      <c r="M21" s="49">
        <v>0</v>
      </c>
      <c r="N21" s="49">
        <v>0</v>
      </c>
      <c r="O21" s="49">
        <v>0</v>
      </c>
      <c r="P21" s="47" t="s">
        <v>144</v>
      </c>
      <c r="Q21" s="49">
        <v>0</v>
      </c>
      <c r="R21" s="49">
        <v>0</v>
      </c>
      <c r="S21" s="49">
        <v>0</v>
      </c>
      <c r="T21" s="47" t="s">
        <v>144</v>
      </c>
      <c r="U21" s="49">
        <v>0</v>
      </c>
      <c r="V21" s="49">
        <v>0</v>
      </c>
      <c r="W21" s="49">
        <v>0</v>
      </c>
      <c r="X21" s="47" t="s">
        <v>144</v>
      </c>
      <c r="Y21" s="49">
        <v>1</v>
      </c>
      <c r="Z21" s="49">
        <v>0</v>
      </c>
      <c r="AA21" s="49">
        <v>0</v>
      </c>
      <c r="AB21" s="47" t="s">
        <v>144</v>
      </c>
      <c r="AC21" s="49">
        <v>0</v>
      </c>
      <c r="AD21" s="49">
        <v>0</v>
      </c>
      <c r="AE21" s="49">
        <v>0</v>
      </c>
      <c r="AF21" s="47" t="s">
        <v>144</v>
      </c>
      <c r="AG21" s="49">
        <v>0</v>
      </c>
      <c r="AH21" s="49">
        <v>0</v>
      </c>
      <c r="AI21" s="49">
        <v>0</v>
      </c>
      <c r="AJ21" s="47" t="s">
        <v>144</v>
      </c>
      <c r="AK21" s="49">
        <v>0</v>
      </c>
      <c r="AL21" s="49">
        <v>0</v>
      </c>
      <c r="AM21" s="49">
        <v>0</v>
      </c>
      <c r="AN21" s="47" t="s">
        <v>144</v>
      </c>
      <c r="AO21" s="49">
        <v>0</v>
      </c>
      <c r="AP21" s="49">
        <v>0</v>
      </c>
      <c r="AQ21" s="49">
        <v>0</v>
      </c>
      <c r="AR21" s="47" t="s">
        <v>144</v>
      </c>
      <c r="AS21" s="49">
        <v>0</v>
      </c>
      <c r="AT21" s="49">
        <v>0</v>
      </c>
      <c r="AU21" s="49">
        <v>0</v>
      </c>
      <c r="AV21" s="47" t="s">
        <v>144</v>
      </c>
      <c r="AW21" s="49">
        <v>0</v>
      </c>
      <c r="AX21" s="49">
        <v>0</v>
      </c>
      <c r="AY21" s="49">
        <v>0</v>
      </c>
      <c r="AZ21" s="47" t="s">
        <v>144</v>
      </c>
      <c r="BA21" s="49">
        <f t="shared" si="18"/>
        <v>1</v>
      </c>
      <c r="BB21" s="49">
        <f t="shared" si="19"/>
        <v>0</v>
      </c>
      <c r="BC21" s="49">
        <f t="shared" si="20"/>
        <v>0</v>
      </c>
      <c r="BD21" s="47" t="s">
        <v>144</v>
      </c>
      <c r="BE21" s="49">
        <v>0</v>
      </c>
      <c r="BF21" s="49">
        <v>0</v>
      </c>
      <c r="BG21" s="49">
        <v>0</v>
      </c>
      <c r="BH21" s="47" t="s">
        <v>144</v>
      </c>
      <c r="BI21" s="49">
        <v>0</v>
      </c>
      <c r="BJ21" s="49">
        <v>0</v>
      </c>
      <c r="BK21" s="49">
        <v>0</v>
      </c>
      <c r="BL21" s="47" t="s">
        <v>144</v>
      </c>
      <c r="BM21" s="49">
        <v>0</v>
      </c>
      <c r="BN21" s="49">
        <v>0</v>
      </c>
      <c r="BO21" s="49">
        <v>0</v>
      </c>
      <c r="BP21" s="47" t="s">
        <v>144</v>
      </c>
      <c r="BQ21" s="49">
        <v>0</v>
      </c>
      <c r="BR21" s="49">
        <v>0</v>
      </c>
      <c r="BS21" s="49">
        <v>0</v>
      </c>
      <c r="BT21" s="47" t="s">
        <v>144</v>
      </c>
      <c r="BU21" s="76">
        <f>SUM(BA21:BC21)</f>
        <v>1</v>
      </c>
      <c r="BV21" s="47" t="s">
        <v>144</v>
      </c>
      <c r="BW21" s="49">
        <f t="shared" si="21"/>
        <v>1</v>
      </c>
      <c r="BX21" s="49">
        <f t="shared" si="22"/>
        <v>500</v>
      </c>
    </row>
    <row r="22" spans="1:76" x14ac:dyDescent="0.25">
      <c r="A22" t="s">
        <v>456</v>
      </c>
      <c r="B22" t="s">
        <v>457</v>
      </c>
      <c r="C22" t="s">
        <v>330</v>
      </c>
      <c r="D22" t="s">
        <v>855</v>
      </c>
      <c r="E22" s="47" t="s">
        <v>144</v>
      </c>
      <c r="F22" s="49">
        <v>1</v>
      </c>
      <c r="G22" s="49">
        <v>0</v>
      </c>
      <c r="H22" s="47" t="s">
        <v>144</v>
      </c>
      <c r="I22" s="49">
        <v>0</v>
      </c>
      <c r="J22" s="48">
        <v>0</v>
      </c>
      <c r="K22" s="48">
        <v>0</v>
      </c>
      <c r="L22" s="47" t="s">
        <v>144</v>
      </c>
      <c r="M22" s="49">
        <v>0</v>
      </c>
      <c r="N22" s="49">
        <v>0</v>
      </c>
      <c r="O22" s="49">
        <v>0</v>
      </c>
      <c r="P22" s="47" t="s">
        <v>144</v>
      </c>
      <c r="Q22" s="49">
        <v>0</v>
      </c>
      <c r="R22" s="49">
        <v>0</v>
      </c>
      <c r="S22" s="49">
        <v>0</v>
      </c>
      <c r="T22" s="47" t="s">
        <v>144</v>
      </c>
      <c r="U22" s="49">
        <v>0</v>
      </c>
      <c r="V22" s="49">
        <v>0</v>
      </c>
      <c r="W22" s="49">
        <v>0</v>
      </c>
      <c r="X22" s="47" t="s">
        <v>144</v>
      </c>
      <c r="Y22" s="49">
        <v>0</v>
      </c>
      <c r="Z22" s="49">
        <v>0</v>
      </c>
      <c r="AA22" s="49">
        <v>0</v>
      </c>
      <c r="AB22" s="47" t="s">
        <v>144</v>
      </c>
      <c r="AC22" s="49">
        <v>0</v>
      </c>
      <c r="AD22" s="49">
        <v>0</v>
      </c>
      <c r="AE22" s="49">
        <v>0</v>
      </c>
      <c r="AF22" s="47" t="s">
        <v>144</v>
      </c>
      <c r="AG22" s="49">
        <v>0</v>
      </c>
      <c r="AH22" s="49">
        <v>0</v>
      </c>
      <c r="AI22" s="49">
        <v>0</v>
      </c>
      <c r="AJ22" s="47" t="s">
        <v>144</v>
      </c>
      <c r="AK22" s="49">
        <v>0</v>
      </c>
      <c r="AL22" s="49">
        <v>0</v>
      </c>
      <c r="AM22" s="49">
        <v>0</v>
      </c>
      <c r="AN22" s="47" t="s">
        <v>144</v>
      </c>
      <c r="AO22" s="49">
        <v>0</v>
      </c>
      <c r="AP22" s="49">
        <v>0</v>
      </c>
      <c r="AQ22" s="49">
        <v>0</v>
      </c>
      <c r="AR22" s="47" t="s">
        <v>144</v>
      </c>
      <c r="AS22" s="49">
        <v>0</v>
      </c>
      <c r="AT22" s="49">
        <v>0</v>
      </c>
      <c r="AU22" s="49">
        <v>0</v>
      </c>
      <c r="AV22" s="47" t="s">
        <v>144</v>
      </c>
      <c r="AW22" s="49">
        <v>0</v>
      </c>
      <c r="AX22" s="49">
        <v>0</v>
      </c>
      <c r="AY22" s="49">
        <v>0</v>
      </c>
      <c r="AZ22" s="47" t="s">
        <v>144</v>
      </c>
      <c r="BA22" s="49">
        <f t="shared" si="18"/>
        <v>0</v>
      </c>
      <c r="BB22" s="49">
        <f t="shared" si="19"/>
        <v>0</v>
      </c>
      <c r="BC22" s="49">
        <f t="shared" si="20"/>
        <v>0</v>
      </c>
      <c r="BD22" s="47" t="s">
        <v>144</v>
      </c>
      <c r="BE22" s="49">
        <v>0</v>
      </c>
      <c r="BF22" s="49">
        <v>0</v>
      </c>
      <c r="BG22" s="49">
        <v>0</v>
      </c>
      <c r="BH22" s="47" t="s">
        <v>144</v>
      </c>
      <c r="BI22" s="49">
        <v>0</v>
      </c>
      <c r="BJ22" s="49">
        <v>0</v>
      </c>
      <c r="BK22" s="49">
        <v>0</v>
      </c>
      <c r="BL22" s="47" t="s">
        <v>144</v>
      </c>
      <c r="BM22" s="49">
        <v>0</v>
      </c>
      <c r="BN22" s="49">
        <v>0</v>
      </c>
      <c r="BO22" s="49">
        <v>0</v>
      </c>
      <c r="BP22" s="47" t="s">
        <v>144</v>
      </c>
      <c r="BQ22" s="49">
        <v>0</v>
      </c>
      <c r="BR22" s="49">
        <v>0</v>
      </c>
      <c r="BS22" s="49">
        <v>0</v>
      </c>
      <c r="BT22" s="47" t="s">
        <v>144</v>
      </c>
      <c r="BU22" s="76">
        <f>SUM(BA22:BC22)</f>
        <v>0</v>
      </c>
      <c r="BV22" s="47" t="s">
        <v>144</v>
      </c>
      <c r="BW22" s="49">
        <f t="shared" si="21"/>
        <v>0</v>
      </c>
      <c r="BX22" s="49">
        <f t="shared" si="22"/>
        <v>0</v>
      </c>
    </row>
    <row r="23" spans="1:76" x14ac:dyDescent="0.25">
      <c r="A23" t="s">
        <v>101</v>
      </c>
      <c r="B23" t="s">
        <v>177</v>
      </c>
      <c r="C23" t="s">
        <v>330</v>
      </c>
      <c r="D23" t="s">
        <v>855</v>
      </c>
      <c r="E23" s="47" t="s">
        <v>144</v>
      </c>
      <c r="F23" s="49">
        <v>3</v>
      </c>
      <c r="G23" s="49">
        <v>9</v>
      </c>
      <c r="H23" s="47" t="s">
        <v>144</v>
      </c>
      <c r="I23" s="49">
        <v>0</v>
      </c>
      <c r="J23" s="48">
        <v>0</v>
      </c>
      <c r="K23" s="48">
        <v>0</v>
      </c>
      <c r="L23" s="47" t="s">
        <v>144</v>
      </c>
      <c r="M23" s="49">
        <v>0</v>
      </c>
      <c r="N23" s="49">
        <v>0</v>
      </c>
      <c r="O23" s="49">
        <v>0</v>
      </c>
      <c r="P23" s="47" t="s">
        <v>144</v>
      </c>
      <c r="Q23" s="49">
        <v>4</v>
      </c>
      <c r="R23" s="49">
        <v>1</v>
      </c>
      <c r="S23" s="49">
        <v>4</v>
      </c>
      <c r="T23" s="47" t="s">
        <v>144</v>
      </c>
      <c r="U23" s="49">
        <v>1</v>
      </c>
      <c r="V23" s="49">
        <v>0</v>
      </c>
      <c r="W23" s="49">
        <v>2</v>
      </c>
      <c r="X23" s="47" t="s">
        <v>144</v>
      </c>
      <c r="Y23" s="49">
        <v>1</v>
      </c>
      <c r="Z23" s="49">
        <v>2</v>
      </c>
      <c r="AA23" s="49">
        <v>2</v>
      </c>
      <c r="AB23" s="47" t="s">
        <v>144</v>
      </c>
      <c r="AC23" s="49">
        <v>2</v>
      </c>
      <c r="AD23" s="49">
        <v>0</v>
      </c>
      <c r="AE23" s="49">
        <v>0</v>
      </c>
      <c r="AF23" s="47" t="s">
        <v>144</v>
      </c>
      <c r="AG23" s="49">
        <v>0</v>
      </c>
      <c r="AH23" s="49">
        <v>0</v>
      </c>
      <c r="AI23" s="49">
        <v>0</v>
      </c>
      <c r="AJ23" s="47" t="s">
        <v>144</v>
      </c>
      <c r="AK23" s="49">
        <v>0</v>
      </c>
      <c r="AL23" s="49">
        <v>0</v>
      </c>
      <c r="AM23" s="49">
        <v>0</v>
      </c>
      <c r="AN23" s="47" t="s">
        <v>144</v>
      </c>
      <c r="AO23" s="49">
        <v>0</v>
      </c>
      <c r="AP23" s="49">
        <v>0</v>
      </c>
      <c r="AQ23" s="49">
        <v>0</v>
      </c>
      <c r="AR23" s="47" t="s">
        <v>144</v>
      </c>
      <c r="AS23" s="49">
        <v>0</v>
      </c>
      <c r="AT23" s="49">
        <v>0</v>
      </c>
      <c r="AU23" s="49">
        <v>0</v>
      </c>
      <c r="AV23" s="47" t="s">
        <v>144</v>
      </c>
      <c r="AW23" s="49">
        <v>0</v>
      </c>
      <c r="AX23" s="49">
        <v>0</v>
      </c>
      <c r="AY23" s="49">
        <v>0</v>
      </c>
      <c r="AZ23" s="47" t="s">
        <v>144</v>
      </c>
      <c r="BA23" s="49">
        <f t="shared" si="18"/>
        <v>8</v>
      </c>
      <c r="BB23" s="49">
        <f t="shared" si="19"/>
        <v>3</v>
      </c>
      <c r="BC23" s="49">
        <f t="shared" si="20"/>
        <v>8</v>
      </c>
      <c r="BD23" s="47" t="s">
        <v>144</v>
      </c>
      <c r="BE23" s="49">
        <v>0</v>
      </c>
      <c r="BF23" s="49">
        <v>0</v>
      </c>
      <c r="BG23" s="49">
        <v>0</v>
      </c>
      <c r="BH23" s="47" t="s">
        <v>144</v>
      </c>
      <c r="BI23" s="49">
        <v>0</v>
      </c>
      <c r="BJ23" s="49">
        <v>0</v>
      </c>
      <c r="BK23" s="49">
        <v>0</v>
      </c>
      <c r="BL23" s="47" t="s">
        <v>144</v>
      </c>
      <c r="BM23" s="49">
        <v>0</v>
      </c>
      <c r="BN23" s="49">
        <v>0</v>
      </c>
      <c r="BO23" s="49">
        <v>0</v>
      </c>
      <c r="BP23" s="47" t="s">
        <v>144</v>
      </c>
      <c r="BQ23" s="49">
        <v>0</v>
      </c>
      <c r="BR23" s="49">
        <v>0</v>
      </c>
      <c r="BS23" s="49">
        <v>0</v>
      </c>
      <c r="BT23" s="47" t="s">
        <v>144</v>
      </c>
      <c r="BU23" s="76">
        <f>SUM(BA23:BC23)</f>
        <v>19</v>
      </c>
      <c r="BV23" s="47" t="s">
        <v>144</v>
      </c>
      <c r="BW23" s="49">
        <f t="shared" si="21"/>
        <v>11</v>
      </c>
      <c r="BX23" s="49">
        <f t="shared" si="22"/>
        <v>5500</v>
      </c>
    </row>
    <row r="24" spans="1:76" x14ac:dyDescent="0.25">
      <c r="A24" t="s">
        <v>11</v>
      </c>
      <c r="B24" t="s">
        <v>178</v>
      </c>
      <c r="C24" t="s">
        <v>337</v>
      </c>
      <c r="D24" t="s">
        <v>854</v>
      </c>
      <c r="E24" s="47" t="s">
        <v>144</v>
      </c>
      <c r="F24" s="49">
        <v>3</v>
      </c>
      <c r="G24" s="49">
        <v>7</v>
      </c>
      <c r="H24" s="47" t="s">
        <v>144</v>
      </c>
      <c r="I24" s="49">
        <v>0</v>
      </c>
      <c r="J24" s="48">
        <v>0</v>
      </c>
      <c r="K24" s="48">
        <v>0</v>
      </c>
      <c r="L24" s="47" t="s">
        <v>144</v>
      </c>
      <c r="M24" s="49">
        <v>1</v>
      </c>
      <c r="N24" s="49">
        <v>0</v>
      </c>
      <c r="O24" s="49">
        <v>0</v>
      </c>
      <c r="P24" s="47" t="s">
        <v>144</v>
      </c>
      <c r="Q24" s="49">
        <v>0</v>
      </c>
      <c r="R24" s="49">
        <v>0</v>
      </c>
      <c r="S24" s="49">
        <v>0</v>
      </c>
      <c r="T24" s="47" t="s">
        <v>144</v>
      </c>
      <c r="U24" s="49">
        <v>0</v>
      </c>
      <c r="V24" s="49">
        <v>0</v>
      </c>
      <c r="W24" s="49">
        <v>0</v>
      </c>
      <c r="X24" s="47" t="s">
        <v>144</v>
      </c>
      <c r="Y24" s="49">
        <v>0</v>
      </c>
      <c r="Z24" s="49">
        <v>2</v>
      </c>
      <c r="AA24" s="49">
        <v>0</v>
      </c>
      <c r="AB24" s="47" t="s">
        <v>144</v>
      </c>
      <c r="AC24" s="49">
        <v>0</v>
      </c>
      <c r="AD24" s="49">
        <v>0</v>
      </c>
      <c r="AE24" s="49">
        <v>0</v>
      </c>
      <c r="AF24" s="47" t="s">
        <v>144</v>
      </c>
      <c r="AG24" s="49">
        <v>0</v>
      </c>
      <c r="AH24" s="49">
        <v>-2</v>
      </c>
      <c r="AI24" s="49">
        <v>0</v>
      </c>
      <c r="AJ24" s="47" t="s">
        <v>144</v>
      </c>
      <c r="AK24" s="49">
        <v>0</v>
      </c>
      <c r="AL24" s="49">
        <v>0</v>
      </c>
      <c r="AM24" s="49">
        <v>0</v>
      </c>
      <c r="AN24" s="47" t="s">
        <v>144</v>
      </c>
      <c r="AO24" s="49">
        <v>0</v>
      </c>
      <c r="AP24" s="49">
        <v>0</v>
      </c>
      <c r="AQ24" s="49">
        <v>0</v>
      </c>
      <c r="AR24" s="47" t="s">
        <v>144</v>
      </c>
      <c r="AS24" s="49">
        <v>0</v>
      </c>
      <c r="AT24" s="49">
        <v>0</v>
      </c>
      <c r="AU24" s="49">
        <v>0</v>
      </c>
      <c r="AV24" s="47" t="s">
        <v>144</v>
      </c>
      <c r="AW24" s="49">
        <v>0</v>
      </c>
      <c r="AX24" s="49">
        <v>0</v>
      </c>
      <c r="AY24" s="49">
        <v>0</v>
      </c>
      <c r="AZ24" s="47" t="s">
        <v>144</v>
      </c>
      <c r="BA24" s="49">
        <f t="shared" si="18"/>
        <v>1</v>
      </c>
      <c r="BB24" s="49">
        <f t="shared" si="19"/>
        <v>0</v>
      </c>
      <c r="BC24" s="49">
        <f t="shared" si="20"/>
        <v>0</v>
      </c>
      <c r="BD24" s="47" t="s">
        <v>144</v>
      </c>
      <c r="BE24" s="49">
        <v>0</v>
      </c>
      <c r="BF24" s="49">
        <v>0</v>
      </c>
      <c r="BG24" s="49">
        <v>0</v>
      </c>
      <c r="BH24" s="47" t="s">
        <v>144</v>
      </c>
      <c r="BI24" s="49">
        <v>0</v>
      </c>
      <c r="BJ24" s="49">
        <v>0</v>
      </c>
      <c r="BK24" s="49">
        <v>0</v>
      </c>
      <c r="BL24" s="47" t="s">
        <v>144</v>
      </c>
      <c r="BM24" s="49">
        <v>0</v>
      </c>
      <c r="BN24" s="49">
        <v>0</v>
      </c>
      <c r="BO24" s="49">
        <v>0</v>
      </c>
      <c r="BP24" s="47" t="s">
        <v>144</v>
      </c>
      <c r="BQ24" s="49">
        <v>0</v>
      </c>
      <c r="BR24" s="49">
        <v>0</v>
      </c>
      <c r="BS24" s="49">
        <v>0</v>
      </c>
      <c r="BT24" s="47" t="s">
        <v>144</v>
      </c>
      <c r="BU24" s="76">
        <f>SUM(BA24:BC24)</f>
        <v>1</v>
      </c>
      <c r="BV24" s="47" t="s">
        <v>144</v>
      </c>
      <c r="BW24" s="49">
        <f t="shared" si="21"/>
        <v>1</v>
      </c>
      <c r="BX24" s="49">
        <f t="shared" si="22"/>
        <v>500</v>
      </c>
    </row>
    <row r="25" spans="1:76" x14ac:dyDescent="0.25">
      <c r="A25" t="s">
        <v>8</v>
      </c>
      <c r="B25" t="s">
        <v>179</v>
      </c>
      <c r="C25" t="s">
        <v>330</v>
      </c>
      <c r="D25" t="s">
        <v>855</v>
      </c>
      <c r="E25" s="47" t="s">
        <v>144</v>
      </c>
      <c r="F25" s="49">
        <v>7</v>
      </c>
      <c r="G25" s="49">
        <v>0</v>
      </c>
      <c r="H25" s="47" t="s">
        <v>144</v>
      </c>
      <c r="I25" s="49">
        <v>0</v>
      </c>
      <c r="J25" s="48">
        <v>0</v>
      </c>
      <c r="K25" s="48">
        <v>0</v>
      </c>
      <c r="L25" s="47" t="s">
        <v>144</v>
      </c>
      <c r="M25" s="49">
        <v>2</v>
      </c>
      <c r="N25" s="49">
        <v>0</v>
      </c>
      <c r="O25" s="49">
        <v>2</v>
      </c>
      <c r="P25" s="47" t="s">
        <v>144</v>
      </c>
      <c r="Q25" s="49">
        <v>0</v>
      </c>
      <c r="R25" s="49">
        <v>0</v>
      </c>
      <c r="S25" s="49">
        <v>0</v>
      </c>
      <c r="T25" s="47" t="s">
        <v>144</v>
      </c>
      <c r="U25" s="49">
        <v>0</v>
      </c>
      <c r="V25" s="49">
        <v>0</v>
      </c>
      <c r="W25" s="49">
        <v>0</v>
      </c>
      <c r="X25" s="47" t="s">
        <v>144</v>
      </c>
      <c r="Y25" s="49">
        <v>1</v>
      </c>
      <c r="Z25" s="49">
        <v>0</v>
      </c>
      <c r="AA25" s="49">
        <v>2</v>
      </c>
      <c r="AB25" s="47" t="s">
        <v>144</v>
      </c>
      <c r="AC25" s="49">
        <v>0</v>
      </c>
      <c r="AD25" s="49">
        <v>0</v>
      </c>
      <c r="AE25" s="49">
        <v>0</v>
      </c>
      <c r="AF25" s="47" t="s">
        <v>144</v>
      </c>
      <c r="AG25" s="49">
        <v>0</v>
      </c>
      <c r="AH25" s="49">
        <v>0</v>
      </c>
      <c r="AI25" s="49">
        <v>0</v>
      </c>
      <c r="AJ25" s="47" t="s">
        <v>144</v>
      </c>
      <c r="AK25" s="49">
        <v>0</v>
      </c>
      <c r="AL25" s="49">
        <v>0</v>
      </c>
      <c r="AM25" s="49">
        <v>0</v>
      </c>
      <c r="AN25" s="47" t="s">
        <v>144</v>
      </c>
      <c r="AO25" s="49">
        <v>0</v>
      </c>
      <c r="AP25" s="49">
        <v>0</v>
      </c>
      <c r="AQ25" s="49">
        <v>0</v>
      </c>
      <c r="AR25" s="47" t="s">
        <v>144</v>
      </c>
      <c r="AS25" s="49">
        <v>0</v>
      </c>
      <c r="AT25" s="49">
        <v>0</v>
      </c>
      <c r="AU25" s="49">
        <v>0</v>
      </c>
      <c r="AV25" s="47" t="s">
        <v>144</v>
      </c>
      <c r="AW25" s="49">
        <v>0</v>
      </c>
      <c r="AX25" s="49">
        <v>0</v>
      </c>
      <c r="AY25" s="49">
        <v>0</v>
      </c>
      <c r="AZ25" s="47" t="s">
        <v>144</v>
      </c>
      <c r="BA25" s="49">
        <f t="shared" si="18"/>
        <v>3</v>
      </c>
      <c r="BB25" s="49">
        <f t="shared" si="19"/>
        <v>0</v>
      </c>
      <c r="BC25" s="49">
        <f t="shared" si="20"/>
        <v>4</v>
      </c>
      <c r="BD25" s="47" t="s">
        <v>144</v>
      </c>
      <c r="BE25" s="49">
        <v>0</v>
      </c>
      <c r="BF25" s="49">
        <v>0</v>
      </c>
      <c r="BG25" s="49">
        <v>0</v>
      </c>
      <c r="BH25" s="47" t="s">
        <v>144</v>
      </c>
      <c r="BI25" s="49">
        <v>0</v>
      </c>
      <c r="BJ25" s="49">
        <v>0</v>
      </c>
      <c r="BK25" s="49">
        <v>0</v>
      </c>
      <c r="BL25" s="47" t="s">
        <v>144</v>
      </c>
      <c r="BM25" s="49">
        <v>0</v>
      </c>
      <c r="BN25" s="49">
        <v>0</v>
      </c>
      <c r="BO25" s="49">
        <v>0</v>
      </c>
      <c r="BP25" s="47" t="s">
        <v>144</v>
      </c>
      <c r="BQ25" s="49">
        <v>0</v>
      </c>
      <c r="BR25" s="49">
        <v>0</v>
      </c>
      <c r="BS25" s="49">
        <v>0</v>
      </c>
      <c r="BT25" s="47" t="s">
        <v>144</v>
      </c>
      <c r="BU25" s="76">
        <f>SUM(BA25:BC25)</f>
        <v>7</v>
      </c>
      <c r="BV25" s="47" t="s">
        <v>144</v>
      </c>
      <c r="BW25" s="49">
        <f t="shared" si="21"/>
        <v>3</v>
      </c>
      <c r="BX25" s="49">
        <f t="shared" si="22"/>
        <v>1500</v>
      </c>
    </row>
  </sheetData>
  <mergeCells count="18">
    <mergeCell ref="BW3:BX3"/>
    <mergeCell ref="BA3:BC3"/>
    <mergeCell ref="BE3:BG3"/>
    <mergeCell ref="BI3:BK3"/>
    <mergeCell ref="BM3:BO3"/>
    <mergeCell ref="BQ3:BS3"/>
    <mergeCell ref="AC3:AE3"/>
    <mergeCell ref="AG3:AI3"/>
    <mergeCell ref="AK3:AM3"/>
    <mergeCell ref="AO3:AQ3"/>
    <mergeCell ref="AS3:AU3"/>
    <mergeCell ref="AW3:AY3"/>
    <mergeCell ref="F3:G3"/>
    <mergeCell ref="I3:K3"/>
    <mergeCell ref="M3:O3"/>
    <mergeCell ref="U3:W3"/>
    <mergeCell ref="Q3:S3"/>
    <mergeCell ref="Y3:AA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B6C896-F59A-4F67-A09B-BE3EE270B71B}">
  <dimension ref="A3:H9"/>
  <sheetViews>
    <sheetView zoomScale="90" zoomScaleNormal="90" workbookViewId="0">
      <selection activeCell="C25" sqref="C25"/>
    </sheetView>
  </sheetViews>
  <sheetFormatPr defaultRowHeight="15" x14ac:dyDescent="0.25"/>
  <cols>
    <col min="1" max="1" width="11.28515625" bestFit="1" customWidth="1"/>
    <col min="2" max="2" width="28.28515625" bestFit="1" customWidth="1"/>
    <col min="3" max="3" width="14.5703125" bestFit="1" customWidth="1"/>
    <col min="4" max="4" width="21" bestFit="1" customWidth="1"/>
    <col min="5" max="7" width="11" bestFit="1" customWidth="1"/>
    <col min="8" max="8" width="11.28515625" bestFit="1" customWidth="1"/>
    <col min="9" max="22" width="11" bestFit="1" customWidth="1"/>
    <col min="23" max="23" width="11.28515625" bestFit="1" customWidth="1"/>
    <col min="24" max="32" width="24" bestFit="1" customWidth="1"/>
    <col min="33" max="33" width="15.85546875" bestFit="1" customWidth="1"/>
    <col min="34" max="34" width="29" bestFit="1" customWidth="1"/>
  </cols>
  <sheetData>
    <row r="3" spans="1:8" x14ac:dyDescent="0.25">
      <c r="A3" s="9" t="s">
        <v>142</v>
      </c>
      <c r="E3" s="9" t="s">
        <v>734</v>
      </c>
      <c r="F3" s="9" t="s">
        <v>735</v>
      </c>
    </row>
    <row r="4" spans="1:8" x14ac:dyDescent="0.25">
      <c r="E4" s="44">
        <v>46235</v>
      </c>
      <c r="F4" s="44">
        <v>46235</v>
      </c>
      <c r="G4" s="44">
        <v>46235</v>
      </c>
      <c r="H4" s="44" t="s">
        <v>3</v>
      </c>
    </row>
    <row r="5" spans="1:8" x14ac:dyDescent="0.25">
      <c r="A5" s="9" t="s">
        <v>4</v>
      </c>
      <c r="B5" s="9" t="s">
        <v>64</v>
      </c>
      <c r="C5" s="9" t="s">
        <v>159</v>
      </c>
      <c r="D5" s="9" t="s">
        <v>143</v>
      </c>
      <c r="E5" t="s">
        <v>813</v>
      </c>
      <c r="F5" t="s">
        <v>825</v>
      </c>
      <c r="G5" t="s">
        <v>736</v>
      </c>
    </row>
    <row r="6" spans="1:8" x14ac:dyDescent="0.25">
      <c r="A6" t="s">
        <v>125</v>
      </c>
      <c r="B6" t="s">
        <v>126</v>
      </c>
      <c r="C6" t="s">
        <v>332</v>
      </c>
      <c r="D6" t="s">
        <v>331</v>
      </c>
      <c r="E6" s="46">
        <v>1</v>
      </c>
      <c r="F6" s="46"/>
      <c r="G6" s="46">
        <v>2</v>
      </c>
      <c r="H6" s="46">
        <v>3</v>
      </c>
    </row>
    <row r="7" spans="1:8" x14ac:dyDescent="0.25">
      <c r="A7" t="s">
        <v>11</v>
      </c>
      <c r="B7" t="s">
        <v>229</v>
      </c>
      <c r="C7" t="s">
        <v>337</v>
      </c>
      <c r="D7" t="s">
        <v>336</v>
      </c>
      <c r="E7" s="46"/>
      <c r="F7" s="46">
        <v>-2</v>
      </c>
      <c r="G7" s="46"/>
      <c r="H7" s="46">
        <v>-2</v>
      </c>
    </row>
    <row r="8" spans="1:8" x14ac:dyDescent="0.25">
      <c r="A8" t="s">
        <v>155</v>
      </c>
      <c r="B8" t="s">
        <v>835</v>
      </c>
      <c r="C8" t="s">
        <v>524</v>
      </c>
      <c r="D8" t="s">
        <v>336</v>
      </c>
      <c r="E8" s="46">
        <v>1</v>
      </c>
      <c r="F8" s="46"/>
      <c r="G8" s="46">
        <v>2</v>
      </c>
      <c r="H8" s="46">
        <v>3</v>
      </c>
    </row>
    <row r="9" spans="1:8" x14ac:dyDescent="0.25">
      <c r="A9" t="s">
        <v>3</v>
      </c>
      <c r="E9" s="46">
        <v>2</v>
      </c>
      <c r="F9" s="46">
        <v>-2</v>
      </c>
      <c r="G9" s="46">
        <v>4</v>
      </c>
      <c r="H9" s="46">
        <v>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C4803F-3797-4FB3-B440-7D9750E63BCE}">
  <dimension ref="A1:AI93"/>
  <sheetViews>
    <sheetView showGridLines="0" workbookViewId="0">
      <pane xSplit="1" ySplit="1" topLeftCell="V2" activePane="bottomRight" state="frozen"/>
      <selection pane="topRight" activeCell="B1" sqref="B1"/>
      <selection pane="bottomLeft" activeCell="A2" sqref="A2"/>
      <selection pane="bottomRight" activeCell="AG1" sqref="AG1"/>
    </sheetView>
  </sheetViews>
  <sheetFormatPr defaultRowHeight="15" x14ac:dyDescent="0.25"/>
  <cols>
    <col min="1" max="1" width="7.42578125" bestFit="1" customWidth="1"/>
    <col min="2" max="2" width="7.5703125" bestFit="1" customWidth="1"/>
    <col min="3" max="3" width="26" bestFit="1" customWidth="1"/>
    <col min="4" max="4" width="14.140625" bestFit="1" customWidth="1"/>
    <col min="5" max="5" width="10.140625" bestFit="1" customWidth="1"/>
    <col min="6" max="6" width="10.42578125" bestFit="1" customWidth="1"/>
    <col min="7" max="7" width="3.85546875" bestFit="1" customWidth="1"/>
    <col min="8" max="8" width="12" bestFit="1" customWidth="1"/>
    <col min="9" max="9" width="30.7109375" bestFit="1" customWidth="1"/>
    <col min="10" max="10" width="55.7109375" bestFit="1" customWidth="1"/>
    <col min="11" max="11" width="6" bestFit="1" customWidth="1"/>
    <col min="12" max="12" width="12.140625" bestFit="1" customWidth="1"/>
    <col min="13" max="13" width="19.28515625" bestFit="1" customWidth="1"/>
    <col min="14" max="14" width="15.28515625" bestFit="1" customWidth="1"/>
    <col min="15" max="15" width="8.28515625" bestFit="1" customWidth="1"/>
    <col min="16" max="16" width="11.28515625" bestFit="1" customWidth="1"/>
    <col min="17" max="17" width="11.140625" bestFit="1" customWidth="1"/>
    <col min="18" max="18" width="9" bestFit="1" customWidth="1"/>
    <col min="19" max="19" width="14.85546875" bestFit="1" customWidth="1"/>
    <col min="20" max="20" width="15.85546875" bestFit="1" customWidth="1"/>
    <col min="21" max="21" width="21.5703125" bestFit="1" customWidth="1"/>
    <col min="22" max="22" width="12.140625" bestFit="1" customWidth="1"/>
    <col min="23" max="23" width="11.85546875" bestFit="1" customWidth="1"/>
    <col min="24" max="24" width="10.7109375" bestFit="1" customWidth="1"/>
    <col min="25" max="25" width="11.140625" bestFit="1" customWidth="1"/>
    <col min="26" max="26" width="17.5703125" bestFit="1" customWidth="1"/>
    <col min="27" max="27" width="17.28515625" bestFit="1" customWidth="1"/>
    <col min="28" max="28" width="21.7109375" bestFit="1" customWidth="1"/>
    <col min="29" max="29" width="8.140625" bestFit="1" customWidth="1"/>
    <col min="30" max="30" width="8.5703125" bestFit="1" customWidth="1"/>
    <col min="35" max="35" width="19.28515625" bestFit="1" customWidth="1"/>
  </cols>
  <sheetData>
    <row r="1" spans="1:35" x14ac:dyDescent="0.25">
      <c r="A1" s="41" t="s">
        <v>734</v>
      </c>
      <c r="B1" s="42" t="s">
        <v>4</v>
      </c>
      <c r="C1" s="42" t="s">
        <v>64</v>
      </c>
      <c r="D1" s="42" t="s">
        <v>65</v>
      </c>
      <c r="E1" s="42" t="s">
        <v>180</v>
      </c>
      <c r="F1" s="14" t="s">
        <v>66</v>
      </c>
      <c r="G1" s="42" t="s">
        <v>67</v>
      </c>
      <c r="H1" s="42" t="s">
        <v>5</v>
      </c>
      <c r="I1" s="42" t="s">
        <v>68</v>
      </c>
      <c r="J1" s="42" t="s">
        <v>69</v>
      </c>
      <c r="K1" s="42" t="s">
        <v>70</v>
      </c>
      <c r="L1" s="42" t="s">
        <v>71</v>
      </c>
      <c r="M1" s="42" t="s">
        <v>72</v>
      </c>
      <c r="N1" s="42" t="s">
        <v>73</v>
      </c>
      <c r="O1" s="42" t="s">
        <v>74</v>
      </c>
      <c r="P1" s="42" t="s">
        <v>75</v>
      </c>
      <c r="Q1" s="42" t="s">
        <v>76</v>
      </c>
      <c r="R1" s="42" t="s">
        <v>77</v>
      </c>
      <c r="S1" s="42" t="s">
        <v>78</v>
      </c>
      <c r="T1" s="42" t="s">
        <v>79</v>
      </c>
      <c r="U1" s="42" t="s">
        <v>80</v>
      </c>
      <c r="V1" s="42" t="s">
        <v>81</v>
      </c>
      <c r="W1" s="42" t="s">
        <v>82</v>
      </c>
      <c r="X1" s="42" t="s">
        <v>83</v>
      </c>
      <c r="Y1" s="42" t="s">
        <v>84</v>
      </c>
      <c r="Z1" s="42" t="s">
        <v>85</v>
      </c>
      <c r="AA1" s="42" t="s">
        <v>86</v>
      </c>
      <c r="AB1" s="42" t="s">
        <v>87</v>
      </c>
      <c r="AC1" s="42" t="s">
        <v>88</v>
      </c>
      <c r="AD1" s="43" t="s">
        <v>735</v>
      </c>
      <c r="AE1" s="10" t="s">
        <v>159</v>
      </c>
      <c r="AF1" s="10" t="s">
        <v>143</v>
      </c>
      <c r="AG1" s="10" t="s">
        <v>71</v>
      </c>
      <c r="AH1" s="10" t="s">
        <v>872</v>
      </c>
      <c r="AI1" s="36" t="s">
        <v>327</v>
      </c>
    </row>
    <row r="2" spans="1:35" x14ac:dyDescent="0.25">
      <c r="A2" s="37">
        <v>46054</v>
      </c>
      <c r="B2" s="7" t="s">
        <v>149</v>
      </c>
      <c r="C2" s="7" t="s">
        <v>809</v>
      </c>
      <c r="D2" s="7" t="s">
        <v>810</v>
      </c>
      <c r="E2" s="7"/>
      <c r="F2" s="8">
        <v>46074</v>
      </c>
      <c r="G2" s="7">
        <v>1</v>
      </c>
      <c r="H2" s="7" t="s">
        <v>12</v>
      </c>
      <c r="I2" s="7" t="s">
        <v>104</v>
      </c>
      <c r="J2" s="7" t="s">
        <v>272</v>
      </c>
      <c r="K2" s="7">
        <v>39500</v>
      </c>
      <c r="L2" s="7">
        <v>-3160</v>
      </c>
      <c r="M2" s="7">
        <v>0</v>
      </c>
      <c r="N2" s="7">
        <v>34609.519999999997</v>
      </c>
      <c r="O2" s="7">
        <v>5</v>
      </c>
      <c r="P2" s="7">
        <v>1730.48</v>
      </c>
      <c r="Q2" s="7">
        <v>36340</v>
      </c>
      <c r="R2" s="7" t="s">
        <v>114</v>
      </c>
      <c r="S2" s="7" t="s">
        <v>811</v>
      </c>
      <c r="T2" s="7" t="s">
        <v>96</v>
      </c>
      <c r="U2" s="7" t="s">
        <v>812</v>
      </c>
      <c r="V2" s="7" t="s">
        <v>96</v>
      </c>
      <c r="W2" s="7" t="s">
        <v>96</v>
      </c>
      <c r="X2" s="7" t="s">
        <v>109</v>
      </c>
      <c r="Y2" s="7" t="s">
        <v>99</v>
      </c>
      <c r="Z2" s="7" t="s">
        <v>96</v>
      </c>
      <c r="AA2" s="7" t="s">
        <v>96</v>
      </c>
      <c r="AB2" s="7" t="s">
        <v>96</v>
      </c>
      <c r="AC2" s="7" t="s">
        <v>96</v>
      </c>
      <c r="AD2" s="40" t="s">
        <v>813</v>
      </c>
      <c r="AE2" t="str">
        <f>IFERROR(VLOOKUP($B2,Sheet3!B:D,3,0),"")</f>
        <v>NOIDA</v>
      </c>
      <c r="AF2" t="str">
        <f>IFERROR(VLOOKUP($B2,Sheet3!B:H,7,0),"")</f>
        <v>AMANDEEP SINGH GILL</v>
      </c>
      <c r="AG2">
        <f>-(L2)</f>
        <v>3160</v>
      </c>
      <c r="AH2">
        <f>-(L2)</f>
        <v>3160</v>
      </c>
      <c r="AI2">
        <f>G2*500</f>
        <v>500</v>
      </c>
    </row>
    <row r="3" spans="1:35" x14ac:dyDescent="0.25">
      <c r="A3" s="37">
        <v>46082</v>
      </c>
      <c r="B3" s="7" t="s">
        <v>11</v>
      </c>
      <c r="C3" s="7" t="s">
        <v>229</v>
      </c>
      <c r="D3" s="7" t="s">
        <v>814</v>
      </c>
      <c r="E3" s="7"/>
      <c r="F3" s="8">
        <v>46082</v>
      </c>
      <c r="G3" s="7">
        <v>1</v>
      </c>
      <c r="H3" s="7" t="s">
        <v>12</v>
      </c>
      <c r="I3" s="7" t="s">
        <v>104</v>
      </c>
      <c r="J3" s="7" t="s">
        <v>272</v>
      </c>
      <c r="K3" s="7">
        <v>39500</v>
      </c>
      <c r="L3" s="7">
        <v>-4209</v>
      </c>
      <c r="M3" s="7">
        <v>0</v>
      </c>
      <c r="N3" s="7">
        <v>33610.480000000003</v>
      </c>
      <c r="O3" s="7">
        <v>5</v>
      </c>
      <c r="P3" s="7">
        <v>1680.52</v>
      </c>
      <c r="Q3" s="7">
        <v>35291</v>
      </c>
      <c r="R3" s="7" t="s">
        <v>114</v>
      </c>
      <c r="S3" s="7" t="s">
        <v>815</v>
      </c>
      <c r="T3" s="7" t="s">
        <v>96</v>
      </c>
      <c r="U3" s="7" t="s">
        <v>816</v>
      </c>
      <c r="V3" s="7" t="s">
        <v>96</v>
      </c>
      <c r="W3" s="7" t="s">
        <v>96</v>
      </c>
      <c r="X3" s="7" t="s">
        <v>109</v>
      </c>
      <c r="Y3" s="7" t="s">
        <v>99</v>
      </c>
      <c r="Z3" s="7" t="s">
        <v>96</v>
      </c>
      <c r="AA3" s="7" t="s">
        <v>96</v>
      </c>
      <c r="AB3" s="7" t="s">
        <v>96</v>
      </c>
      <c r="AC3" s="7" t="s">
        <v>96</v>
      </c>
      <c r="AD3" s="40" t="s">
        <v>813</v>
      </c>
      <c r="AE3" t="str">
        <f>IFERROR(VLOOKUP($B3,Sheet3!B:D,3,0),"")</f>
        <v>DEHRADUN</v>
      </c>
      <c r="AF3" t="str">
        <f>IFERROR(VLOOKUP($B3,Sheet3!B:H,7,0),"")</f>
        <v>AMANDEEP SINGH GILL</v>
      </c>
      <c r="AG3">
        <f>-(L3)</f>
        <v>4209</v>
      </c>
      <c r="AH3">
        <f t="shared" ref="AH3:AH66" si="0">-(L3)</f>
        <v>4209</v>
      </c>
      <c r="AI3">
        <f t="shared" ref="AI3:AI6" si="1">G3*500</f>
        <v>500</v>
      </c>
    </row>
    <row r="4" spans="1:35" x14ac:dyDescent="0.25">
      <c r="A4" s="37">
        <v>46082</v>
      </c>
      <c r="B4" s="7" t="s">
        <v>8</v>
      </c>
      <c r="C4" s="7" t="s">
        <v>285</v>
      </c>
      <c r="D4" s="7" t="s">
        <v>817</v>
      </c>
      <c r="E4" s="7"/>
      <c r="F4" s="8">
        <v>46084</v>
      </c>
      <c r="G4" s="7">
        <v>1</v>
      </c>
      <c r="H4" s="7" t="s">
        <v>10</v>
      </c>
      <c r="I4" s="7" t="s">
        <v>104</v>
      </c>
      <c r="J4" s="7" t="s">
        <v>296</v>
      </c>
      <c r="K4" s="7">
        <v>29400</v>
      </c>
      <c r="L4" s="7">
        <v>-2400</v>
      </c>
      <c r="M4" s="7">
        <v>0</v>
      </c>
      <c r="N4" s="7">
        <v>25714.28</v>
      </c>
      <c r="O4" s="7">
        <v>5</v>
      </c>
      <c r="P4" s="7">
        <v>1285.72</v>
      </c>
      <c r="Q4" s="7">
        <v>27000</v>
      </c>
      <c r="R4" s="7" t="s">
        <v>114</v>
      </c>
      <c r="S4" s="7" t="s">
        <v>818</v>
      </c>
      <c r="T4" s="7" t="s">
        <v>96</v>
      </c>
      <c r="U4" s="7" t="s">
        <v>288</v>
      </c>
      <c r="V4" s="7" t="s">
        <v>96</v>
      </c>
      <c r="W4" s="7" t="s">
        <v>96</v>
      </c>
      <c r="X4" s="7" t="s">
        <v>109</v>
      </c>
      <c r="Y4" s="7" t="s">
        <v>99</v>
      </c>
      <c r="Z4" s="7" t="s">
        <v>96</v>
      </c>
      <c r="AA4" s="7" t="s">
        <v>96</v>
      </c>
      <c r="AB4" s="7" t="s">
        <v>96</v>
      </c>
      <c r="AC4" s="7" t="s">
        <v>96</v>
      </c>
      <c r="AD4" s="40" t="s">
        <v>813</v>
      </c>
      <c r="AE4" t="str">
        <f>IFERROR(VLOOKUP($B4,Sheet3!B:D,3,0),"")</f>
        <v>BENGALURU</v>
      </c>
      <c r="AF4" t="str">
        <f>IFERROR(VLOOKUP($B4,Sheet3!B:H,7,0),"")</f>
        <v>D. N.CHOWDHURY</v>
      </c>
      <c r="AG4">
        <f>-(L4)</f>
        <v>2400</v>
      </c>
      <c r="AH4">
        <f t="shared" si="0"/>
        <v>2400</v>
      </c>
      <c r="AI4">
        <f t="shared" si="1"/>
        <v>500</v>
      </c>
    </row>
    <row r="5" spans="1:35" x14ac:dyDescent="0.25">
      <c r="A5" s="37">
        <v>46082</v>
      </c>
      <c r="B5" s="7" t="s">
        <v>6</v>
      </c>
      <c r="C5" s="7" t="s">
        <v>819</v>
      </c>
      <c r="D5" s="7" t="s">
        <v>820</v>
      </c>
      <c r="E5" s="7"/>
      <c r="F5" s="8">
        <v>46095</v>
      </c>
      <c r="G5" s="7">
        <v>1</v>
      </c>
      <c r="H5" s="7" t="s">
        <v>7</v>
      </c>
      <c r="I5" s="7" t="s">
        <v>92</v>
      </c>
      <c r="J5" s="7" t="s">
        <v>821</v>
      </c>
      <c r="K5" s="7">
        <v>47500</v>
      </c>
      <c r="L5" s="7">
        <v>-5500</v>
      </c>
      <c r="M5" s="7">
        <v>0</v>
      </c>
      <c r="N5" s="7">
        <v>35593.22</v>
      </c>
      <c r="O5" s="7">
        <v>18</v>
      </c>
      <c r="P5" s="7">
        <v>6406.78</v>
      </c>
      <c r="Q5" s="7">
        <v>42000</v>
      </c>
      <c r="R5" s="7" t="s">
        <v>94</v>
      </c>
      <c r="S5" s="7" t="s">
        <v>822</v>
      </c>
      <c r="T5" s="7" t="s">
        <v>96</v>
      </c>
      <c r="U5" s="7" t="s">
        <v>823</v>
      </c>
      <c r="V5" s="7" t="s">
        <v>96</v>
      </c>
      <c r="W5" s="7" t="s">
        <v>96</v>
      </c>
      <c r="X5" s="7" t="s">
        <v>98</v>
      </c>
      <c r="Y5" s="7" t="s">
        <v>99</v>
      </c>
      <c r="Z5" s="7" t="s">
        <v>96</v>
      </c>
      <c r="AA5" s="7" t="s">
        <v>96</v>
      </c>
      <c r="AB5" s="7" t="s">
        <v>824</v>
      </c>
      <c r="AC5" s="7" t="s">
        <v>96</v>
      </c>
      <c r="AD5" s="40" t="s">
        <v>825</v>
      </c>
      <c r="AE5" t="str">
        <f>IFERROR(VLOOKUP($B5,Sheet3!B:D,3,0),"")</f>
        <v>BENGALURU</v>
      </c>
      <c r="AF5" t="str">
        <f>IFERROR(VLOOKUP($B5,Sheet3!B:H,7,0),"")</f>
        <v>D. N.CHOWDHURY</v>
      </c>
      <c r="AG5">
        <f>-(L5)</f>
        <v>5500</v>
      </c>
      <c r="AH5">
        <f t="shared" si="0"/>
        <v>5500</v>
      </c>
      <c r="AI5">
        <f t="shared" si="1"/>
        <v>500</v>
      </c>
    </row>
    <row r="6" spans="1:35" x14ac:dyDescent="0.25">
      <c r="A6" s="37">
        <v>46082</v>
      </c>
      <c r="B6" s="7" t="s">
        <v>8</v>
      </c>
      <c r="C6" s="7" t="s">
        <v>285</v>
      </c>
      <c r="D6" s="7" t="s">
        <v>742</v>
      </c>
      <c r="E6" s="7"/>
      <c r="F6" s="8">
        <v>46106</v>
      </c>
      <c r="G6" s="7">
        <v>1</v>
      </c>
      <c r="H6" s="7" t="s">
        <v>9</v>
      </c>
      <c r="I6" s="7" t="s">
        <v>104</v>
      </c>
      <c r="J6" s="7" t="s">
        <v>133</v>
      </c>
      <c r="K6" s="7">
        <v>29400</v>
      </c>
      <c r="L6" s="7">
        <v>0</v>
      </c>
      <c r="M6" s="7">
        <v>0</v>
      </c>
      <c r="N6" s="7">
        <v>28000</v>
      </c>
      <c r="O6" s="7">
        <v>5</v>
      </c>
      <c r="P6" s="7">
        <v>1400</v>
      </c>
      <c r="Q6" s="7">
        <v>29400</v>
      </c>
      <c r="R6" s="7" t="s">
        <v>106</v>
      </c>
      <c r="S6" s="7" t="s">
        <v>743</v>
      </c>
      <c r="T6" s="7" t="s">
        <v>744</v>
      </c>
      <c r="U6" s="7" t="s">
        <v>745</v>
      </c>
      <c r="V6" s="7" t="s">
        <v>96</v>
      </c>
      <c r="W6" s="7" t="s">
        <v>96</v>
      </c>
      <c r="X6" s="7" t="s">
        <v>109</v>
      </c>
      <c r="Y6" s="7" t="s">
        <v>99</v>
      </c>
      <c r="Z6" s="7" t="s">
        <v>96</v>
      </c>
      <c r="AA6" s="7" t="s">
        <v>746</v>
      </c>
      <c r="AB6" s="7" t="s">
        <v>747</v>
      </c>
      <c r="AC6" s="7" t="s">
        <v>96</v>
      </c>
      <c r="AD6" s="40" t="s">
        <v>813</v>
      </c>
      <c r="AE6" t="str">
        <f>IFERROR(VLOOKUP($B6,Sheet3!B:D,3,0),"")</f>
        <v>BENGALURU</v>
      </c>
      <c r="AF6" t="str">
        <f>IFERROR(VLOOKUP($B6,Sheet3!B:H,7,0),"")</f>
        <v>D. N.CHOWDHURY</v>
      </c>
      <c r="AG6">
        <f>-(L6)</f>
        <v>0</v>
      </c>
      <c r="AH6">
        <f t="shared" si="0"/>
        <v>0</v>
      </c>
      <c r="AI6">
        <f t="shared" si="1"/>
        <v>500</v>
      </c>
    </row>
    <row r="7" spans="1:35" x14ac:dyDescent="0.25">
      <c r="A7" s="37">
        <v>46082</v>
      </c>
      <c r="B7" s="7" t="s">
        <v>8</v>
      </c>
      <c r="C7" s="7" t="s">
        <v>285</v>
      </c>
      <c r="D7" s="7" t="s">
        <v>742</v>
      </c>
      <c r="E7" s="7"/>
      <c r="F7" s="8">
        <v>46106</v>
      </c>
      <c r="G7" s="7">
        <v>1</v>
      </c>
      <c r="H7" s="7" t="s">
        <v>748</v>
      </c>
      <c r="I7" s="7" t="s">
        <v>749</v>
      </c>
      <c r="J7" s="7" t="s">
        <v>750</v>
      </c>
      <c r="K7" s="7">
        <v>1350</v>
      </c>
      <c r="L7" s="7">
        <v>0</v>
      </c>
      <c r="M7" s="7">
        <v>-84.38</v>
      </c>
      <c r="N7" s="7">
        <v>1205.3599999999999</v>
      </c>
      <c r="O7" s="7">
        <v>5</v>
      </c>
      <c r="P7" s="7">
        <v>60.26</v>
      </c>
      <c r="Q7" s="7">
        <v>1265.6199999999999</v>
      </c>
      <c r="R7" s="7" t="s">
        <v>106</v>
      </c>
      <c r="S7" s="7" t="s">
        <v>743</v>
      </c>
      <c r="T7" s="7" t="s">
        <v>96</v>
      </c>
      <c r="U7" s="7" t="s">
        <v>745</v>
      </c>
      <c r="V7" s="7" t="s">
        <v>751</v>
      </c>
      <c r="W7" s="7" t="s">
        <v>96</v>
      </c>
      <c r="X7" s="7" t="s">
        <v>752</v>
      </c>
      <c r="Y7" s="7" t="s">
        <v>99</v>
      </c>
      <c r="Z7" s="7" t="s">
        <v>96</v>
      </c>
      <c r="AA7" s="7" t="s">
        <v>746</v>
      </c>
      <c r="AB7" s="7" t="s">
        <v>747</v>
      </c>
      <c r="AC7" s="7" t="s">
        <v>96</v>
      </c>
      <c r="AD7" s="38" t="s">
        <v>736</v>
      </c>
      <c r="AE7" t="str">
        <f>IFERROR(VLOOKUP($B7,Sheet3!B:D,3,0),"")</f>
        <v>BENGALURU</v>
      </c>
      <c r="AF7" t="str">
        <f>IFERROR(VLOOKUP($B7,Sheet3!B:H,7,0),"")</f>
        <v>D. N.CHOWDHURY</v>
      </c>
      <c r="AG7">
        <f>-(L7)</f>
        <v>0</v>
      </c>
      <c r="AH7">
        <v>0</v>
      </c>
    </row>
    <row r="8" spans="1:35" x14ac:dyDescent="0.25">
      <c r="A8" s="37">
        <v>46082</v>
      </c>
      <c r="B8" s="7" t="s">
        <v>8</v>
      </c>
      <c r="C8" s="7" t="s">
        <v>285</v>
      </c>
      <c r="D8" s="7" t="s">
        <v>742</v>
      </c>
      <c r="E8" s="7"/>
      <c r="F8" s="8">
        <v>46106</v>
      </c>
      <c r="G8" s="7">
        <v>1</v>
      </c>
      <c r="H8" s="7" t="s">
        <v>748</v>
      </c>
      <c r="I8" s="7" t="s">
        <v>749</v>
      </c>
      <c r="J8" s="7" t="s">
        <v>750</v>
      </c>
      <c r="K8" s="7">
        <v>1350</v>
      </c>
      <c r="L8" s="7">
        <v>0</v>
      </c>
      <c r="M8" s="7">
        <v>-84.38</v>
      </c>
      <c r="N8" s="7">
        <v>1205.3599999999999</v>
      </c>
      <c r="O8" s="7">
        <v>5</v>
      </c>
      <c r="P8" s="7">
        <v>60.26</v>
      </c>
      <c r="Q8" s="7">
        <v>1265.6199999999999</v>
      </c>
      <c r="R8" s="7" t="s">
        <v>106</v>
      </c>
      <c r="S8" s="7" t="s">
        <v>743</v>
      </c>
      <c r="T8" s="7" t="s">
        <v>744</v>
      </c>
      <c r="U8" s="7" t="s">
        <v>745</v>
      </c>
      <c r="V8" s="7" t="s">
        <v>751</v>
      </c>
      <c r="W8" s="7" t="s">
        <v>96</v>
      </c>
      <c r="X8" s="7" t="s">
        <v>752</v>
      </c>
      <c r="Y8" s="7" t="s">
        <v>99</v>
      </c>
      <c r="Z8" s="7" t="s">
        <v>96</v>
      </c>
      <c r="AA8" s="7" t="s">
        <v>746</v>
      </c>
      <c r="AB8" s="7" t="s">
        <v>747</v>
      </c>
      <c r="AC8" s="7" t="s">
        <v>96</v>
      </c>
      <c r="AD8" s="38" t="s">
        <v>736</v>
      </c>
      <c r="AE8" t="str">
        <f>IFERROR(VLOOKUP($B8,Sheet3!B:D,3,0),"")</f>
        <v>BENGALURU</v>
      </c>
      <c r="AF8" t="str">
        <f>IFERROR(VLOOKUP($B8,Sheet3!B:H,7,0),"")</f>
        <v>D. N.CHOWDHURY</v>
      </c>
      <c r="AG8">
        <f>-(L8)</f>
        <v>0</v>
      </c>
      <c r="AH8">
        <v>0</v>
      </c>
    </row>
    <row r="9" spans="1:35" x14ac:dyDescent="0.25">
      <c r="A9" s="39">
        <v>46113</v>
      </c>
      <c r="B9" s="7" t="s">
        <v>89</v>
      </c>
      <c r="C9" s="7" t="s">
        <v>90</v>
      </c>
      <c r="D9" s="7" t="s">
        <v>91</v>
      </c>
      <c r="E9" s="7"/>
      <c r="F9" s="8">
        <v>46115</v>
      </c>
      <c r="G9" s="7">
        <v>1</v>
      </c>
      <c r="H9" s="7" t="s">
        <v>56</v>
      </c>
      <c r="I9" s="7" t="s">
        <v>92</v>
      </c>
      <c r="J9" s="7" t="s">
        <v>93</v>
      </c>
      <c r="K9" s="7">
        <v>43000</v>
      </c>
      <c r="L9" s="7">
        <v>0</v>
      </c>
      <c r="M9" s="7">
        <v>0</v>
      </c>
      <c r="N9" s="7">
        <v>36440.68</v>
      </c>
      <c r="O9" s="7">
        <v>18</v>
      </c>
      <c r="P9" s="7">
        <v>6559.32</v>
      </c>
      <c r="Q9" s="7">
        <v>43000</v>
      </c>
      <c r="R9" s="7" t="s">
        <v>94</v>
      </c>
      <c r="S9" s="7" t="s">
        <v>95</v>
      </c>
      <c r="T9" s="7" t="s">
        <v>96</v>
      </c>
      <c r="U9" s="7" t="s">
        <v>97</v>
      </c>
      <c r="V9" s="7" t="s">
        <v>96</v>
      </c>
      <c r="W9" s="7" t="s">
        <v>96</v>
      </c>
      <c r="X9" s="7" t="s">
        <v>98</v>
      </c>
      <c r="Y9" s="7" t="s">
        <v>99</v>
      </c>
      <c r="Z9" s="7" t="s">
        <v>96</v>
      </c>
      <c r="AA9" s="7" t="s">
        <v>96</v>
      </c>
      <c r="AB9" s="7" t="s">
        <v>100</v>
      </c>
      <c r="AC9" s="7" t="s">
        <v>96</v>
      </c>
      <c r="AD9" s="40" t="s">
        <v>825</v>
      </c>
      <c r="AE9" t="str">
        <f>IFERROR(VLOOKUP($B9,Sheet3!B:D,3,0),"")</f>
        <v xml:space="preserve">PUNE </v>
      </c>
      <c r="AF9" t="str">
        <f>IFERROR(VLOOKUP($B9,Sheet3!B:H,7,0),"")</f>
        <v>DIGVIJAY SINGH</v>
      </c>
      <c r="AG9">
        <f>-(L9)</f>
        <v>0</v>
      </c>
      <c r="AH9">
        <f t="shared" si="0"/>
        <v>0</v>
      </c>
      <c r="AI9">
        <f t="shared" ref="AI9:AI10" si="2">G9*500</f>
        <v>500</v>
      </c>
    </row>
    <row r="10" spans="1:35" x14ac:dyDescent="0.25">
      <c r="A10" s="39">
        <v>46113</v>
      </c>
      <c r="B10" s="7" t="s">
        <v>101</v>
      </c>
      <c r="C10" s="7" t="s">
        <v>102</v>
      </c>
      <c r="D10" s="7" t="s">
        <v>103</v>
      </c>
      <c r="E10" s="7"/>
      <c r="F10" s="8">
        <v>46125</v>
      </c>
      <c r="G10" s="7">
        <v>1</v>
      </c>
      <c r="H10" s="7" t="s">
        <v>29</v>
      </c>
      <c r="I10" s="7" t="s">
        <v>104</v>
      </c>
      <c r="J10" s="7" t="s">
        <v>105</v>
      </c>
      <c r="K10" s="7">
        <v>29400</v>
      </c>
      <c r="L10" s="7">
        <v>-3782.12</v>
      </c>
      <c r="M10" s="7">
        <v>0</v>
      </c>
      <c r="N10" s="7">
        <v>24397.98</v>
      </c>
      <c r="O10" s="7">
        <v>5</v>
      </c>
      <c r="P10" s="7">
        <v>1219.9000000000001</v>
      </c>
      <c r="Q10" s="7">
        <v>25617.88</v>
      </c>
      <c r="R10" s="7" t="s">
        <v>106</v>
      </c>
      <c r="S10" s="7" t="s">
        <v>107</v>
      </c>
      <c r="T10" s="7" t="s">
        <v>96</v>
      </c>
      <c r="U10" s="7" t="s">
        <v>108</v>
      </c>
      <c r="V10" s="7" t="s">
        <v>96</v>
      </c>
      <c r="W10" s="7" t="s">
        <v>96</v>
      </c>
      <c r="X10" s="7" t="s">
        <v>109</v>
      </c>
      <c r="Y10" s="7" t="s">
        <v>99</v>
      </c>
      <c r="Z10" s="7" t="s">
        <v>96</v>
      </c>
      <c r="AA10" s="7" t="s">
        <v>110</v>
      </c>
      <c r="AB10" s="7" t="s">
        <v>111</v>
      </c>
      <c r="AC10" s="7" t="s">
        <v>96</v>
      </c>
      <c r="AD10" s="40" t="s">
        <v>813</v>
      </c>
      <c r="AE10" t="str">
        <f>IFERROR(VLOOKUP($B10,Sheet3!B:D,3,0),"")</f>
        <v>BENGALURU</v>
      </c>
      <c r="AF10" t="str">
        <f>IFERROR(VLOOKUP($B10,Sheet3!B:H,7,0),"")</f>
        <v>D. N.CHOWDHURY</v>
      </c>
      <c r="AG10">
        <f>-(L10)</f>
        <v>3782.12</v>
      </c>
      <c r="AH10">
        <f t="shared" si="0"/>
        <v>3782.12</v>
      </c>
      <c r="AI10">
        <f t="shared" si="2"/>
        <v>500</v>
      </c>
    </row>
    <row r="11" spans="1:35" x14ac:dyDescent="0.25">
      <c r="A11" s="39">
        <v>46113</v>
      </c>
      <c r="B11" s="7" t="s">
        <v>101</v>
      </c>
      <c r="C11" s="7" t="s">
        <v>102</v>
      </c>
      <c r="D11" s="7" t="s">
        <v>103</v>
      </c>
      <c r="E11" s="7"/>
      <c r="F11" s="8">
        <v>46125</v>
      </c>
      <c r="G11" s="7">
        <v>1</v>
      </c>
      <c r="H11" s="7" t="s">
        <v>760</v>
      </c>
      <c r="I11" s="7" t="s">
        <v>761</v>
      </c>
      <c r="J11" s="7" t="s">
        <v>762</v>
      </c>
      <c r="K11" s="7">
        <v>6355</v>
      </c>
      <c r="L11" s="7">
        <v>-766.44</v>
      </c>
      <c r="M11" s="7">
        <v>-397.19</v>
      </c>
      <c r="N11" s="7">
        <v>4944.17</v>
      </c>
      <c r="O11" s="7">
        <v>5</v>
      </c>
      <c r="P11" s="7">
        <v>247.2</v>
      </c>
      <c r="Q11" s="7">
        <v>5191.37</v>
      </c>
      <c r="R11" s="7" t="s">
        <v>106</v>
      </c>
      <c r="S11" s="7" t="s">
        <v>107</v>
      </c>
      <c r="T11" s="7" t="s">
        <v>96</v>
      </c>
      <c r="U11" s="7" t="s">
        <v>108</v>
      </c>
      <c r="V11" s="7" t="s">
        <v>763</v>
      </c>
      <c r="W11" s="7" t="s">
        <v>764</v>
      </c>
      <c r="X11" s="7" t="s">
        <v>765</v>
      </c>
      <c r="Y11" s="7" t="s">
        <v>99</v>
      </c>
      <c r="Z11" s="7" t="s">
        <v>96</v>
      </c>
      <c r="AA11" s="7" t="s">
        <v>110</v>
      </c>
      <c r="AB11" s="7" t="s">
        <v>111</v>
      </c>
      <c r="AC11" s="7" t="s">
        <v>96</v>
      </c>
      <c r="AD11" s="38" t="s">
        <v>736</v>
      </c>
      <c r="AE11" t="str">
        <f>IFERROR(VLOOKUP($B11,Sheet3!B:D,3,0),"")</f>
        <v>BENGALURU</v>
      </c>
      <c r="AF11" t="str">
        <f>IFERROR(VLOOKUP($B11,Sheet3!B:H,7,0),"")</f>
        <v>D. N.CHOWDHURY</v>
      </c>
      <c r="AG11">
        <f>-(L11)</f>
        <v>766.44</v>
      </c>
      <c r="AH11">
        <v>0</v>
      </c>
    </row>
    <row r="12" spans="1:35" x14ac:dyDescent="0.25">
      <c r="A12" s="39">
        <v>46113</v>
      </c>
      <c r="B12" s="7" t="s">
        <v>101</v>
      </c>
      <c r="C12" s="7" t="s">
        <v>102</v>
      </c>
      <c r="D12" s="7" t="s">
        <v>103</v>
      </c>
      <c r="E12" s="7"/>
      <c r="F12" s="8">
        <v>46125</v>
      </c>
      <c r="G12" s="7">
        <v>1</v>
      </c>
      <c r="H12" s="7" t="s">
        <v>760</v>
      </c>
      <c r="I12" s="7" t="s">
        <v>761</v>
      </c>
      <c r="J12" s="7" t="s">
        <v>762</v>
      </c>
      <c r="K12" s="7">
        <v>6355</v>
      </c>
      <c r="L12" s="7">
        <v>-766.44</v>
      </c>
      <c r="M12" s="7">
        <v>-397.19</v>
      </c>
      <c r="N12" s="7">
        <v>4944.17</v>
      </c>
      <c r="O12" s="7">
        <v>5</v>
      </c>
      <c r="P12" s="7">
        <v>247.2</v>
      </c>
      <c r="Q12" s="7">
        <v>5191.37</v>
      </c>
      <c r="R12" s="7" t="s">
        <v>106</v>
      </c>
      <c r="S12" s="7" t="s">
        <v>107</v>
      </c>
      <c r="T12" s="7" t="s">
        <v>96</v>
      </c>
      <c r="U12" s="7" t="s">
        <v>108</v>
      </c>
      <c r="V12" s="7" t="s">
        <v>763</v>
      </c>
      <c r="W12" s="7" t="s">
        <v>764</v>
      </c>
      <c r="X12" s="7" t="s">
        <v>765</v>
      </c>
      <c r="Y12" s="7" t="s">
        <v>99</v>
      </c>
      <c r="Z12" s="7" t="s">
        <v>96</v>
      </c>
      <c r="AA12" s="7" t="s">
        <v>110</v>
      </c>
      <c r="AB12" s="7" t="s">
        <v>111</v>
      </c>
      <c r="AC12" s="7" t="s">
        <v>96</v>
      </c>
      <c r="AD12" s="38" t="s">
        <v>736</v>
      </c>
      <c r="AE12" t="str">
        <f>IFERROR(VLOOKUP($B12,Sheet3!B:D,3,0),"")</f>
        <v>BENGALURU</v>
      </c>
      <c r="AF12" t="str">
        <f>IFERROR(VLOOKUP($B12,Sheet3!B:H,7,0),"")</f>
        <v>D. N.CHOWDHURY</v>
      </c>
      <c r="AG12">
        <f>-(L12)</f>
        <v>766.44</v>
      </c>
      <c r="AH12">
        <v>0</v>
      </c>
    </row>
    <row r="13" spans="1:35" x14ac:dyDescent="0.25">
      <c r="A13" s="39">
        <v>46113</v>
      </c>
      <c r="B13" s="7" t="s">
        <v>101</v>
      </c>
      <c r="C13" s="7" t="s">
        <v>102</v>
      </c>
      <c r="D13" s="7" t="s">
        <v>112</v>
      </c>
      <c r="E13" s="7"/>
      <c r="F13" s="8">
        <v>46130</v>
      </c>
      <c r="G13" s="7">
        <v>1</v>
      </c>
      <c r="H13" s="7" t="s">
        <v>55</v>
      </c>
      <c r="I13" s="7" t="s">
        <v>104</v>
      </c>
      <c r="J13" s="7" t="s">
        <v>113</v>
      </c>
      <c r="K13" s="7">
        <v>44500</v>
      </c>
      <c r="L13" s="7">
        <v>-8900</v>
      </c>
      <c r="M13" s="7">
        <v>0</v>
      </c>
      <c r="N13" s="7">
        <v>33904.76</v>
      </c>
      <c r="O13" s="7">
        <v>5</v>
      </c>
      <c r="P13" s="7">
        <v>1695.24</v>
      </c>
      <c r="Q13" s="7">
        <v>35600</v>
      </c>
      <c r="R13" s="7" t="s">
        <v>114</v>
      </c>
      <c r="S13" s="7" t="s">
        <v>115</v>
      </c>
      <c r="T13" s="7" t="s">
        <v>116</v>
      </c>
      <c r="U13" s="7" t="s">
        <v>108</v>
      </c>
      <c r="V13" s="7" t="s">
        <v>96</v>
      </c>
      <c r="W13" s="7" t="s">
        <v>96</v>
      </c>
      <c r="X13" s="7" t="s">
        <v>109</v>
      </c>
      <c r="Y13" s="7" t="s">
        <v>99</v>
      </c>
      <c r="Z13" s="7" t="s">
        <v>96</v>
      </c>
      <c r="AA13" s="7" t="s">
        <v>96</v>
      </c>
      <c r="AB13" s="7" t="s">
        <v>96</v>
      </c>
      <c r="AC13" s="7" t="s">
        <v>96</v>
      </c>
      <c r="AD13" s="40" t="s">
        <v>813</v>
      </c>
      <c r="AE13" t="str">
        <f>IFERROR(VLOOKUP($B13,Sheet3!B:D,3,0),"")</f>
        <v>BENGALURU</v>
      </c>
      <c r="AF13" t="str">
        <f>IFERROR(VLOOKUP($B13,Sheet3!B:H,7,0),"")</f>
        <v>D. N.CHOWDHURY</v>
      </c>
      <c r="AG13">
        <f>-(L13)</f>
        <v>8900</v>
      </c>
      <c r="AH13">
        <f t="shared" si="0"/>
        <v>8900</v>
      </c>
      <c r="AI13">
        <f t="shared" ref="AI13:AI14" si="3">G13*500</f>
        <v>500</v>
      </c>
    </row>
    <row r="14" spans="1:35" x14ac:dyDescent="0.25">
      <c r="A14" s="39">
        <v>46113</v>
      </c>
      <c r="B14" s="7" t="s">
        <v>117</v>
      </c>
      <c r="C14" s="7" t="s">
        <v>118</v>
      </c>
      <c r="D14" s="7" t="s">
        <v>119</v>
      </c>
      <c r="E14" s="7"/>
      <c r="F14" s="8">
        <v>46132</v>
      </c>
      <c r="G14" s="7">
        <v>1</v>
      </c>
      <c r="H14" s="7" t="s">
        <v>22</v>
      </c>
      <c r="I14" s="7" t="s">
        <v>104</v>
      </c>
      <c r="J14" s="7" t="s">
        <v>120</v>
      </c>
      <c r="K14" s="7">
        <v>32000</v>
      </c>
      <c r="L14" s="7">
        <v>-6400</v>
      </c>
      <c r="M14" s="7">
        <v>0</v>
      </c>
      <c r="N14" s="7">
        <v>24380.959999999999</v>
      </c>
      <c r="O14" s="7">
        <v>5</v>
      </c>
      <c r="P14" s="7">
        <v>1219.04</v>
      </c>
      <c r="Q14" s="7">
        <v>25600</v>
      </c>
      <c r="R14" s="7" t="s">
        <v>106</v>
      </c>
      <c r="S14" s="7" t="s">
        <v>121</v>
      </c>
      <c r="T14" s="7" t="s">
        <v>96</v>
      </c>
      <c r="U14" s="7" t="s">
        <v>122</v>
      </c>
      <c r="V14" s="7" t="s">
        <v>96</v>
      </c>
      <c r="W14" s="7" t="s">
        <v>96</v>
      </c>
      <c r="X14" s="7" t="s">
        <v>109</v>
      </c>
      <c r="Y14" s="7" t="s">
        <v>99</v>
      </c>
      <c r="Z14" s="7" t="s">
        <v>96</v>
      </c>
      <c r="AA14" s="7" t="s">
        <v>123</v>
      </c>
      <c r="AB14" s="7" t="s">
        <v>124</v>
      </c>
      <c r="AC14" s="7" t="s">
        <v>96</v>
      </c>
      <c r="AD14" s="40" t="s">
        <v>813</v>
      </c>
      <c r="AE14" t="str">
        <f>IFERROR(VLOOKUP($B14,Sheet3!B:D,3,0),"")</f>
        <v>BENGALURU</v>
      </c>
      <c r="AF14" t="str">
        <f>IFERROR(VLOOKUP($B14,Sheet3!B:H,7,0),"")</f>
        <v>D. N.CHOWDHURY</v>
      </c>
      <c r="AG14">
        <f>-(L14)</f>
        <v>6400</v>
      </c>
      <c r="AH14">
        <f t="shared" si="0"/>
        <v>6400</v>
      </c>
      <c r="AI14">
        <f t="shared" si="3"/>
        <v>500</v>
      </c>
    </row>
    <row r="15" spans="1:35" x14ac:dyDescent="0.25">
      <c r="A15" s="39">
        <v>46113</v>
      </c>
      <c r="B15" s="7" t="s">
        <v>117</v>
      </c>
      <c r="C15" s="7" t="s">
        <v>118</v>
      </c>
      <c r="D15" s="7" t="s">
        <v>119</v>
      </c>
      <c r="E15" s="7"/>
      <c r="F15" s="8">
        <v>46132</v>
      </c>
      <c r="G15" s="7">
        <v>1</v>
      </c>
      <c r="H15" s="7" t="s">
        <v>748</v>
      </c>
      <c r="I15" s="7" t="s">
        <v>749</v>
      </c>
      <c r="J15" s="7" t="s">
        <v>750</v>
      </c>
      <c r="K15" s="7">
        <v>1350</v>
      </c>
      <c r="L15" s="7">
        <v>0</v>
      </c>
      <c r="M15" s="7">
        <v>0</v>
      </c>
      <c r="N15" s="7">
        <v>1285.72</v>
      </c>
      <c r="O15" s="7">
        <v>5</v>
      </c>
      <c r="P15" s="7">
        <v>64.28</v>
      </c>
      <c r="Q15" s="7">
        <v>1350</v>
      </c>
      <c r="R15" s="7" t="s">
        <v>106</v>
      </c>
      <c r="S15" s="7" t="s">
        <v>121</v>
      </c>
      <c r="T15" s="7" t="s">
        <v>116</v>
      </c>
      <c r="U15" s="7" t="s">
        <v>122</v>
      </c>
      <c r="V15" s="7" t="s">
        <v>751</v>
      </c>
      <c r="W15" s="7" t="s">
        <v>96</v>
      </c>
      <c r="X15" s="7" t="s">
        <v>752</v>
      </c>
      <c r="Y15" s="7" t="s">
        <v>99</v>
      </c>
      <c r="Z15" s="7" t="s">
        <v>96</v>
      </c>
      <c r="AA15" s="7" t="s">
        <v>123</v>
      </c>
      <c r="AB15" s="7" t="s">
        <v>124</v>
      </c>
      <c r="AC15" s="7" t="s">
        <v>96</v>
      </c>
      <c r="AD15" s="38" t="s">
        <v>736</v>
      </c>
      <c r="AE15" t="str">
        <f>IFERROR(VLOOKUP($B15,Sheet3!B:D,3,0),"")</f>
        <v>BENGALURU</v>
      </c>
      <c r="AF15" t="str">
        <f>IFERROR(VLOOKUP($B15,Sheet3!B:H,7,0),"")</f>
        <v>D. N.CHOWDHURY</v>
      </c>
      <c r="AG15">
        <f>-(L15)</f>
        <v>0</v>
      </c>
      <c r="AH15">
        <v>0</v>
      </c>
    </row>
    <row r="16" spans="1:35" x14ac:dyDescent="0.25">
      <c r="A16" s="39">
        <v>46113</v>
      </c>
      <c r="B16" s="7" t="s">
        <v>117</v>
      </c>
      <c r="C16" s="7" t="s">
        <v>118</v>
      </c>
      <c r="D16" s="7" t="s">
        <v>119</v>
      </c>
      <c r="E16" s="7"/>
      <c r="F16" s="8">
        <v>46132</v>
      </c>
      <c r="G16" s="7">
        <v>1</v>
      </c>
      <c r="H16" s="7" t="s">
        <v>748</v>
      </c>
      <c r="I16" s="7" t="s">
        <v>749</v>
      </c>
      <c r="J16" s="7" t="s">
        <v>750</v>
      </c>
      <c r="K16" s="7">
        <v>1350</v>
      </c>
      <c r="L16" s="7">
        <v>0</v>
      </c>
      <c r="M16" s="7">
        <v>0</v>
      </c>
      <c r="N16" s="7">
        <v>1285.72</v>
      </c>
      <c r="O16" s="7">
        <v>5</v>
      </c>
      <c r="P16" s="7">
        <v>64.28</v>
      </c>
      <c r="Q16" s="7">
        <v>1350</v>
      </c>
      <c r="R16" s="7" t="s">
        <v>106</v>
      </c>
      <c r="S16" s="7" t="s">
        <v>121</v>
      </c>
      <c r="T16" s="7" t="s">
        <v>96</v>
      </c>
      <c r="U16" s="7" t="s">
        <v>122</v>
      </c>
      <c r="V16" s="7" t="s">
        <v>751</v>
      </c>
      <c r="W16" s="7" t="s">
        <v>96</v>
      </c>
      <c r="X16" s="7" t="s">
        <v>752</v>
      </c>
      <c r="Y16" s="7" t="s">
        <v>99</v>
      </c>
      <c r="Z16" s="7" t="s">
        <v>96</v>
      </c>
      <c r="AA16" s="7" t="s">
        <v>123</v>
      </c>
      <c r="AB16" s="7" t="s">
        <v>124</v>
      </c>
      <c r="AC16" s="7" t="s">
        <v>96</v>
      </c>
      <c r="AD16" s="38" t="s">
        <v>736</v>
      </c>
      <c r="AE16" t="str">
        <f>IFERROR(VLOOKUP($B16,Sheet3!B:D,3,0),"")</f>
        <v>BENGALURU</v>
      </c>
      <c r="AF16" t="str">
        <f>IFERROR(VLOOKUP($B16,Sheet3!B:H,7,0),"")</f>
        <v>D. N.CHOWDHURY</v>
      </c>
      <c r="AG16">
        <f>-(L16)</f>
        <v>0</v>
      </c>
      <c r="AH16">
        <v>0</v>
      </c>
    </row>
    <row r="17" spans="1:35" x14ac:dyDescent="0.25">
      <c r="A17" s="39">
        <v>46113</v>
      </c>
      <c r="B17" s="7" t="s">
        <v>125</v>
      </c>
      <c r="C17" s="7" t="s">
        <v>126</v>
      </c>
      <c r="D17" s="7" t="s">
        <v>127</v>
      </c>
      <c r="E17" s="7"/>
      <c r="F17" s="8">
        <v>46133</v>
      </c>
      <c r="G17" s="7">
        <v>1</v>
      </c>
      <c r="H17" s="7" t="s">
        <v>29</v>
      </c>
      <c r="I17" s="7" t="s">
        <v>104</v>
      </c>
      <c r="J17" s="7" t="s">
        <v>105</v>
      </c>
      <c r="K17" s="7">
        <v>29400</v>
      </c>
      <c r="L17" s="7">
        <v>-4475.3599999999997</v>
      </c>
      <c r="M17" s="7">
        <v>0</v>
      </c>
      <c r="N17" s="7">
        <v>23737.759999999998</v>
      </c>
      <c r="O17" s="7">
        <v>5</v>
      </c>
      <c r="P17" s="7">
        <v>1186.8800000000001</v>
      </c>
      <c r="Q17" s="7">
        <v>24924.639999999999</v>
      </c>
      <c r="R17" s="7" t="s">
        <v>106</v>
      </c>
      <c r="S17" s="7" t="s">
        <v>128</v>
      </c>
      <c r="T17" s="7" t="s">
        <v>96</v>
      </c>
      <c r="U17" s="7" t="s">
        <v>129</v>
      </c>
      <c r="V17" s="7" t="s">
        <v>96</v>
      </c>
      <c r="W17" s="7" t="s">
        <v>96</v>
      </c>
      <c r="X17" s="7" t="s">
        <v>109</v>
      </c>
      <c r="Y17" s="7" t="s">
        <v>99</v>
      </c>
      <c r="Z17" s="7" t="s">
        <v>96</v>
      </c>
      <c r="AA17" s="7" t="s">
        <v>130</v>
      </c>
      <c r="AB17" s="7" t="s">
        <v>131</v>
      </c>
      <c r="AC17" s="7" t="s">
        <v>96</v>
      </c>
      <c r="AD17" s="40" t="s">
        <v>813</v>
      </c>
      <c r="AE17" t="str">
        <f>IFERROR(VLOOKUP($B17,Sheet3!B:D,3,0),"")</f>
        <v>PUDUCHERRY</v>
      </c>
      <c r="AF17" t="str">
        <f>IFERROR(VLOOKUP($B17,Sheet3!B:H,7,0),"")</f>
        <v>D. N.CHOWDHURY</v>
      </c>
      <c r="AG17">
        <f>-(L17)</f>
        <v>4475.3599999999997</v>
      </c>
      <c r="AH17">
        <f t="shared" si="0"/>
        <v>4475.3599999999997</v>
      </c>
      <c r="AI17">
        <f>G17*500</f>
        <v>500</v>
      </c>
    </row>
    <row r="18" spans="1:35" x14ac:dyDescent="0.25">
      <c r="A18" s="39">
        <v>46113</v>
      </c>
      <c r="B18" s="7" t="s">
        <v>125</v>
      </c>
      <c r="C18" s="7" t="s">
        <v>126</v>
      </c>
      <c r="D18" s="7" t="s">
        <v>127</v>
      </c>
      <c r="E18" s="7"/>
      <c r="F18" s="8">
        <v>46133</v>
      </c>
      <c r="G18" s="7">
        <v>1</v>
      </c>
      <c r="H18" s="7" t="s">
        <v>796</v>
      </c>
      <c r="I18" s="7" t="s">
        <v>797</v>
      </c>
      <c r="J18" s="7" t="s">
        <v>798</v>
      </c>
      <c r="K18" s="7">
        <v>11840</v>
      </c>
      <c r="L18" s="7">
        <v>-1802.32</v>
      </c>
      <c r="M18" s="7">
        <v>0</v>
      </c>
      <c r="N18" s="7">
        <v>9559.7000000000007</v>
      </c>
      <c r="O18" s="7">
        <v>5</v>
      </c>
      <c r="P18" s="7">
        <v>477.98</v>
      </c>
      <c r="Q18" s="7">
        <v>10037.68</v>
      </c>
      <c r="R18" s="7" t="s">
        <v>106</v>
      </c>
      <c r="S18" s="7" t="s">
        <v>128</v>
      </c>
      <c r="T18" s="7" t="s">
        <v>96</v>
      </c>
      <c r="U18" s="7" t="s">
        <v>129</v>
      </c>
      <c r="V18" s="7" t="s">
        <v>740</v>
      </c>
      <c r="W18" s="7" t="s">
        <v>96</v>
      </c>
      <c r="X18" s="7" t="s">
        <v>765</v>
      </c>
      <c r="Y18" s="7" t="s">
        <v>99</v>
      </c>
      <c r="Z18" s="7" t="s">
        <v>96</v>
      </c>
      <c r="AA18" s="7" t="s">
        <v>130</v>
      </c>
      <c r="AB18" s="7" t="s">
        <v>131</v>
      </c>
      <c r="AC18" s="7" t="s">
        <v>96</v>
      </c>
      <c r="AD18" s="38" t="s">
        <v>736</v>
      </c>
      <c r="AE18" t="str">
        <f>IFERROR(VLOOKUP($B18,Sheet3!B:D,3,0),"")</f>
        <v>PUDUCHERRY</v>
      </c>
      <c r="AF18" t="str">
        <f>IFERROR(VLOOKUP($B18,Sheet3!B:H,7,0),"")</f>
        <v>D. N.CHOWDHURY</v>
      </c>
      <c r="AG18">
        <f>-(L18)</f>
        <v>1802.32</v>
      </c>
      <c r="AH18">
        <v>0</v>
      </c>
    </row>
    <row r="19" spans="1:35" x14ac:dyDescent="0.25">
      <c r="A19" s="39">
        <v>46113</v>
      </c>
      <c r="B19" s="7" t="s">
        <v>125</v>
      </c>
      <c r="C19" s="7" t="s">
        <v>126</v>
      </c>
      <c r="D19" s="7" t="s">
        <v>127</v>
      </c>
      <c r="E19" s="7"/>
      <c r="F19" s="8">
        <v>46133</v>
      </c>
      <c r="G19" s="7">
        <v>1</v>
      </c>
      <c r="H19" s="7" t="s">
        <v>796</v>
      </c>
      <c r="I19" s="7" t="s">
        <v>797</v>
      </c>
      <c r="J19" s="7" t="s">
        <v>798</v>
      </c>
      <c r="K19" s="7">
        <v>11840</v>
      </c>
      <c r="L19" s="7">
        <v>-1802.32</v>
      </c>
      <c r="M19" s="7">
        <v>0</v>
      </c>
      <c r="N19" s="7">
        <v>9559.7000000000007</v>
      </c>
      <c r="O19" s="7">
        <v>5</v>
      </c>
      <c r="P19" s="7">
        <v>477.98</v>
      </c>
      <c r="Q19" s="7">
        <v>10037.68</v>
      </c>
      <c r="R19" s="7" t="s">
        <v>106</v>
      </c>
      <c r="S19" s="7" t="s">
        <v>128</v>
      </c>
      <c r="T19" s="7" t="s">
        <v>96</v>
      </c>
      <c r="U19" s="7" t="s">
        <v>129</v>
      </c>
      <c r="V19" s="7" t="s">
        <v>740</v>
      </c>
      <c r="W19" s="7" t="s">
        <v>96</v>
      </c>
      <c r="X19" s="7" t="s">
        <v>765</v>
      </c>
      <c r="Y19" s="7" t="s">
        <v>99</v>
      </c>
      <c r="Z19" s="7" t="s">
        <v>96</v>
      </c>
      <c r="AA19" s="7" t="s">
        <v>130</v>
      </c>
      <c r="AB19" s="7" t="s">
        <v>131</v>
      </c>
      <c r="AC19" s="7" t="s">
        <v>96</v>
      </c>
      <c r="AD19" s="38" t="s">
        <v>736</v>
      </c>
      <c r="AE19" t="str">
        <f>IFERROR(VLOOKUP($B19,Sheet3!B:D,3,0),"")</f>
        <v>PUDUCHERRY</v>
      </c>
      <c r="AF19" t="str">
        <f>IFERROR(VLOOKUP($B19,Sheet3!B:H,7,0),"")</f>
        <v>D. N.CHOWDHURY</v>
      </c>
      <c r="AG19">
        <f>-(L19)</f>
        <v>1802.32</v>
      </c>
      <c r="AH19">
        <v>0</v>
      </c>
    </row>
    <row r="20" spans="1:35" x14ac:dyDescent="0.25">
      <c r="A20" s="39">
        <v>46113</v>
      </c>
      <c r="B20" s="7" t="s">
        <v>101</v>
      </c>
      <c r="C20" s="7" t="s">
        <v>102</v>
      </c>
      <c r="D20" s="7" t="s">
        <v>132</v>
      </c>
      <c r="E20" s="7"/>
      <c r="F20" s="8">
        <v>46133</v>
      </c>
      <c r="G20" s="7">
        <v>1</v>
      </c>
      <c r="H20" s="7" t="s">
        <v>9</v>
      </c>
      <c r="I20" s="7" t="s">
        <v>104</v>
      </c>
      <c r="J20" s="7" t="s">
        <v>133</v>
      </c>
      <c r="K20" s="7">
        <v>29400</v>
      </c>
      <c r="L20" s="7">
        <v>-3528</v>
      </c>
      <c r="M20" s="7">
        <v>0</v>
      </c>
      <c r="N20" s="7">
        <v>24640</v>
      </c>
      <c r="O20" s="7">
        <v>5</v>
      </c>
      <c r="P20" s="7">
        <v>1232</v>
      </c>
      <c r="Q20" s="7">
        <v>25872</v>
      </c>
      <c r="R20" s="7" t="s">
        <v>114</v>
      </c>
      <c r="S20" s="7" t="s">
        <v>134</v>
      </c>
      <c r="T20" s="7" t="s">
        <v>96</v>
      </c>
      <c r="U20" s="7" t="s">
        <v>135</v>
      </c>
      <c r="V20" s="7" t="s">
        <v>96</v>
      </c>
      <c r="W20" s="7" t="s">
        <v>96</v>
      </c>
      <c r="X20" s="7" t="s">
        <v>109</v>
      </c>
      <c r="Y20" s="7" t="s">
        <v>99</v>
      </c>
      <c r="Z20" s="7" t="s">
        <v>96</v>
      </c>
      <c r="AA20" s="7" t="s">
        <v>96</v>
      </c>
      <c r="AB20" s="7" t="s">
        <v>136</v>
      </c>
      <c r="AC20" s="7" t="s">
        <v>96</v>
      </c>
      <c r="AD20" s="40" t="s">
        <v>813</v>
      </c>
      <c r="AE20" t="str">
        <f>IFERROR(VLOOKUP($B20,Sheet3!B:D,3,0),"")</f>
        <v>BENGALURU</v>
      </c>
      <c r="AF20" t="str">
        <f>IFERROR(VLOOKUP($B20,Sheet3!B:H,7,0),"")</f>
        <v>D. N.CHOWDHURY</v>
      </c>
      <c r="AG20">
        <f>-(L20)</f>
        <v>3528</v>
      </c>
      <c r="AH20">
        <f t="shared" si="0"/>
        <v>3528</v>
      </c>
      <c r="AI20">
        <f t="shared" ref="AI20:AI22" si="4">G20*500</f>
        <v>500</v>
      </c>
    </row>
    <row r="21" spans="1:35" x14ac:dyDescent="0.25">
      <c r="A21" s="39">
        <v>46113</v>
      </c>
      <c r="B21" s="7" t="s">
        <v>101</v>
      </c>
      <c r="C21" s="7" t="s">
        <v>102</v>
      </c>
      <c r="D21" s="7" t="s">
        <v>137</v>
      </c>
      <c r="E21" s="7"/>
      <c r="F21" s="8">
        <v>46134</v>
      </c>
      <c r="G21" s="7">
        <v>1</v>
      </c>
      <c r="H21" s="7" t="s">
        <v>49</v>
      </c>
      <c r="I21" s="7" t="s">
        <v>92</v>
      </c>
      <c r="J21" s="7" t="s">
        <v>138</v>
      </c>
      <c r="K21" s="7">
        <v>40100</v>
      </c>
      <c r="L21" s="7">
        <v>-8020</v>
      </c>
      <c r="M21" s="7">
        <v>0</v>
      </c>
      <c r="N21" s="7">
        <v>27186.44</v>
      </c>
      <c r="O21" s="7">
        <v>18</v>
      </c>
      <c r="P21" s="7">
        <v>4893.5600000000004</v>
      </c>
      <c r="Q21" s="7">
        <v>32080</v>
      </c>
      <c r="R21" s="7" t="s">
        <v>94</v>
      </c>
      <c r="S21" s="7" t="s">
        <v>139</v>
      </c>
      <c r="T21" s="7" t="s">
        <v>116</v>
      </c>
      <c r="U21" s="7" t="s">
        <v>140</v>
      </c>
      <c r="V21" s="7" t="s">
        <v>96</v>
      </c>
      <c r="W21" s="7" t="s">
        <v>96</v>
      </c>
      <c r="X21" s="7" t="s">
        <v>98</v>
      </c>
      <c r="Y21" s="7" t="s">
        <v>99</v>
      </c>
      <c r="Z21" s="7" t="s">
        <v>96</v>
      </c>
      <c r="AA21" s="7" t="s">
        <v>96</v>
      </c>
      <c r="AB21" s="7" t="s">
        <v>141</v>
      </c>
      <c r="AC21" s="7" t="s">
        <v>96</v>
      </c>
      <c r="AD21" s="40" t="s">
        <v>825</v>
      </c>
      <c r="AE21" t="str">
        <f>IFERROR(VLOOKUP($B21,Sheet3!B:D,3,0),"")</f>
        <v>BENGALURU</v>
      </c>
      <c r="AF21" t="str">
        <f>IFERROR(VLOOKUP($B21,Sheet3!B:H,7,0),"")</f>
        <v>D. N.CHOWDHURY</v>
      </c>
      <c r="AG21">
        <f>-(L21)</f>
        <v>8020</v>
      </c>
      <c r="AH21">
        <f t="shared" si="0"/>
        <v>8020</v>
      </c>
      <c r="AI21">
        <f t="shared" si="4"/>
        <v>500</v>
      </c>
    </row>
    <row r="22" spans="1:35" x14ac:dyDescent="0.25">
      <c r="A22" s="39">
        <v>46113</v>
      </c>
      <c r="B22" s="7" t="s">
        <v>101</v>
      </c>
      <c r="C22" s="7" t="s">
        <v>102</v>
      </c>
      <c r="D22" s="7" t="s">
        <v>181</v>
      </c>
      <c r="E22" s="7"/>
      <c r="F22" s="8">
        <v>46139</v>
      </c>
      <c r="G22" s="7">
        <v>1</v>
      </c>
      <c r="H22" s="7" t="s">
        <v>33</v>
      </c>
      <c r="I22" s="7" t="s">
        <v>104</v>
      </c>
      <c r="J22" s="7" t="s">
        <v>182</v>
      </c>
      <c r="K22" s="7">
        <v>32000</v>
      </c>
      <c r="L22" s="7">
        <v>-2959.2</v>
      </c>
      <c r="M22" s="7">
        <v>0</v>
      </c>
      <c r="N22" s="7">
        <v>27657.9</v>
      </c>
      <c r="O22" s="7">
        <v>5</v>
      </c>
      <c r="P22" s="7">
        <v>1382.9</v>
      </c>
      <c r="Q22" s="7">
        <v>29040.799999999999</v>
      </c>
      <c r="R22" s="7" t="s">
        <v>106</v>
      </c>
      <c r="S22" s="7" t="s">
        <v>183</v>
      </c>
      <c r="T22" s="7" t="s">
        <v>96</v>
      </c>
      <c r="U22" s="7" t="s">
        <v>108</v>
      </c>
      <c r="V22" s="7" t="s">
        <v>96</v>
      </c>
      <c r="W22" s="7" t="s">
        <v>96</v>
      </c>
      <c r="X22" s="7" t="s">
        <v>109</v>
      </c>
      <c r="Y22" s="7" t="s">
        <v>99</v>
      </c>
      <c r="Z22" s="7" t="s">
        <v>96</v>
      </c>
      <c r="AA22" s="7" t="s">
        <v>184</v>
      </c>
      <c r="AB22" s="7" t="s">
        <v>185</v>
      </c>
      <c r="AC22" s="7" t="s">
        <v>96</v>
      </c>
      <c r="AD22" s="40" t="s">
        <v>813</v>
      </c>
      <c r="AE22" t="str">
        <f>IFERROR(VLOOKUP($B22,Sheet3!B:D,3,0),"")</f>
        <v>BENGALURU</v>
      </c>
      <c r="AF22" t="str">
        <f>IFERROR(VLOOKUP($B22,Sheet3!B:H,7,0),"")</f>
        <v>D. N.CHOWDHURY</v>
      </c>
      <c r="AG22">
        <f>-(L22)</f>
        <v>2959.2</v>
      </c>
      <c r="AH22">
        <f t="shared" si="0"/>
        <v>2959.2</v>
      </c>
      <c r="AI22">
        <f t="shared" si="4"/>
        <v>500</v>
      </c>
    </row>
    <row r="23" spans="1:35" x14ac:dyDescent="0.25">
      <c r="A23" s="39">
        <v>46113</v>
      </c>
      <c r="B23" s="7" t="s">
        <v>101</v>
      </c>
      <c r="C23" s="7" t="s">
        <v>102</v>
      </c>
      <c r="D23" s="7" t="s">
        <v>181</v>
      </c>
      <c r="E23" s="7"/>
      <c r="F23" s="8">
        <v>46139</v>
      </c>
      <c r="G23" s="7">
        <v>1</v>
      </c>
      <c r="H23" s="7" t="s">
        <v>758</v>
      </c>
      <c r="I23" s="7" t="s">
        <v>754</v>
      </c>
      <c r="J23" s="7" t="s">
        <v>759</v>
      </c>
      <c r="K23" s="7">
        <v>2450</v>
      </c>
      <c r="L23" s="7">
        <v>-212.4</v>
      </c>
      <c r="M23" s="7">
        <v>-153.13</v>
      </c>
      <c r="N23" s="7">
        <v>1985.21</v>
      </c>
      <c r="O23" s="7">
        <v>5</v>
      </c>
      <c r="P23" s="7">
        <v>99.26</v>
      </c>
      <c r="Q23" s="7">
        <v>2084.4699999999998</v>
      </c>
      <c r="R23" s="7" t="s">
        <v>106</v>
      </c>
      <c r="S23" s="7" t="s">
        <v>183</v>
      </c>
      <c r="T23" s="7" t="s">
        <v>96</v>
      </c>
      <c r="U23" s="7" t="s">
        <v>108</v>
      </c>
      <c r="V23" s="7" t="s">
        <v>756</v>
      </c>
      <c r="W23" s="7" t="s">
        <v>96</v>
      </c>
      <c r="X23" s="7" t="s">
        <v>757</v>
      </c>
      <c r="Y23" s="7" t="s">
        <v>99</v>
      </c>
      <c r="Z23" s="7" t="s">
        <v>96</v>
      </c>
      <c r="AA23" s="7" t="s">
        <v>184</v>
      </c>
      <c r="AB23" s="7" t="s">
        <v>185</v>
      </c>
      <c r="AC23" s="7" t="s">
        <v>96</v>
      </c>
      <c r="AD23" s="38" t="s">
        <v>736</v>
      </c>
      <c r="AE23" t="str">
        <f>IFERROR(VLOOKUP($B23,Sheet3!B:D,3,0),"")</f>
        <v>BENGALURU</v>
      </c>
      <c r="AF23" t="str">
        <f>IFERROR(VLOOKUP($B23,Sheet3!B:H,7,0),"")</f>
        <v>D. N.CHOWDHURY</v>
      </c>
      <c r="AG23">
        <f>-(L23)</f>
        <v>212.4</v>
      </c>
      <c r="AH23">
        <v>0</v>
      </c>
    </row>
    <row r="24" spans="1:35" x14ac:dyDescent="0.25">
      <c r="A24" s="39">
        <v>46113</v>
      </c>
      <c r="B24" s="7" t="s">
        <v>101</v>
      </c>
      <c r="C24" s="7" t="s">
        <v>102</v>
      </c>
      <c r="D24" s="7" t="s">
        <v>181</v>
      </c>
      <c r="E24" s="7"/>
      <c r="F24" s="8">
        <v>46139</v>
      </c>
      <c r="G24" s="7">
        <v>1</v>
      </c>
      <c r="H24" s="7" t="s">
        <v>758</v>
      </c>
      <c r="I24" s="7" t="s">
        <v>754</v>
      </c>
      <c r="J24" s="7" t="s">
        <v>759</v>
      </c>
      <c r="K24" s="7">
        <v>2450</v>
      </c>
      <c r="L24" s="7">
        <v>-212.4</v>
      </c>
      <c r="M24" s="7">
        <v>-153.13</v>
      </c>
      <c r="N24" s="7">
        <v>1985.21</v>
      </c>
      <c r="O24" s="7">
        <v>5</v>
      </c>
      <c r="P24" s="7">
        <v>99.26</v>
      </c>
      <c r="Q24" s="7">
        <v>2084.4699999999998</v>
      </c>
      <c r="R24" s="7" t="s">
        <v>106</v>
      </c>
      <c r="S24" s="7" t="s">
        <v>183</v>
      </c>
      <c r="T24" s="7" t="s">
        <v>96</v>
      </c>
      <c r="U24" s="7" t="s">
        <v>108</v>
      </c>
      <c r="V24" s="7" t="s">
        <v>756</v>
      </c>
      <c r="W24" s="7" t="s">
        <v>96</v>
      </c>
      <c r="X24" s="7" t="s">
        <v>757</v>
      </c>
      <c r="Y24" s="7" t="s">
        <v>99</v>
      </c>
      <c r="Z24" s="7" t="s">
        <v>96</v>
      </c>
      <c r="AA24" s="7" t="s">
        <v>184</v>
      </c>
      <c r="AB24" s="7" t="s">
        <v>185</v>
      </c>
      <c r="AC24" s="7" t="s">
        <v>96</v>
      </c>
      <c r="AD24" s="38" t="s">
        <v>736</v>
      </c>
      <c r="AE24" t="str">
        <f>IFERROR(VLOOKUP($B24,Sheet3!B:D,3,0),"")</f>
        <v>BENGALURU</v>
      </c>
      <c r="AF24" t="str">
        <f>IFERROR(VLOOKUP($B24,Sheet3!B:H,7,0),"")</f>
        <v>D. N.CHOWDHURY</v>
      </c>
      <c r="AG24">
        <f>-(L24)</f>
        <v>212.4</v>
      </c>
      <c r="AH24">
        <v>0</v>
      </c>
    </row>
    <row r="25" spans="1:35" x14ac:dyDescent="0.25">
      <c r="A25" s="39">
        <v>46113</v>
      </c>
      <c r="B25" s="7" t="s">
        <v>148</v>
      </c>
      <c r="C25" s="7" t="s">
        <v>186</v>
      </c>
      <c r="D25" s="7" t="s">
        <v>187</v>
      </c>
      <c r="E25" s="7"/>
      <c r="F25" s="8">
        <v>46142</v>
      </c>
      <c r="G25" s="7">
        <v>1</v>
      </c>
      <c r="H25" s="7" t="s">
        <v>9</v>
      </c>
      <c r="I25" s="7" t="s">
        <v>104</v>
      </c>
      <c r="J25" s="7" t="s">
        <v>133</v>
      </c>
      <c r="K25" s="7">
        <v>29400</v>
      </c>
      <c r="L25" s="7">
        <v>0</v>
      </c>
      <c r="M25" s="7">
        <v>0</v>
      </c>
      <c r="N25" s="7">
        <v>24915.26</v>
      </c>
      <c r="O25" s="7">
        <v>18</v>
      </c>
      <c r="P25" s="7">
        <v>4484.74</v>
      </c>
      <c r="Q25" s="7">
        <v>29400</v>
      </c>
      <c r="R25" s="7" t="s">
        <v>106</v>
      </c>
      <c r="S25" s="7" t="s">
        <v>188</v>
      </c>
      <c r="T25" s="7" t="s">
        <v>96</v>
      </c>
      <c r="U25" s="7" t="s">
        <v>189</v>
      </c>
      <c r="V25" s="7" t="s">
        <v>96</v>
      </c>
      <c r="W25" s="7" t="s">
        <v>96</v>
      </c>
      <c r="X25" s="7" t="s">
        <v>109</v>
      </c>
      <c r="Y25" s="7" t="s">
        <v>99</v>
      </c>
      <c r="Z25" s="7" t="s">
        <v>96</v>
      </c>
      <c r="AA25" s="7" t="s">
        <v>190</v>
      </c>
      <c r="AB25" s="7" t="s">
        <v>191</v>
      </c>
      <c r="AC25" s="7" t="s">
        <v>96</v>
      </c>
      <c r="AD25" s="40" t="s">
        <v>813</v>
      </c>
      <c r="AE25" t="str">
        <f>IFERROR(VLOOKUP($B25,Sheet3!B:D,3,0),"")</f>
        <v>AHMEDABAD</v>
      </c>
      <c r="AF25" t="str">
        <f>IFERROR(VLOOKUP($B25,Sheet3!B:H,7,0),"")</f>
        <v>DIGVIJAY SINGH</v>
      </c>
      <c r="AG25">
        <f>-(L25)</f>
        <v>0</v>
      </c>
      <c r="AH25">
        <f t="shared" si="0"/>
        <v>0</v>
      </c>
      <c r="AI25">
        <f>G25*500</f>
        <v>500</v>
      </c>
    </row>
    <row r="26" spans="1:35" x14ac:dyDescent="0.25">
      <c r="A26" s="39">
        <v>46113</v>
      </c>
      <c r="B26" s="7" t="s">
        <v>148</v>
      </c>
      <c r="C26" s="7" t="s">
        <v>186</v>
      </c>
      <c r="D26" s="7" t="s">
        <v>187</v>
      </c>
      <c r="E26" s="7"/>
      <c r="F26" s="8">
        <v>46142</v>
      </c>
      <c r="G26" s="7">
        <v>1</v>
      </c>
      <c r="H26" s="7" t="s">
        <v>801</v>
      </c>
      <c r="I26" s="7" t="s">
        <v>749</v>
      </c>
      <c r="J26" s="7" t="s">
        <v>802</v>
      </c>
      <c r="K26" s="7">
        <v>4450</v>
      </c>
      <c r="L26" s="7">
        <v>0</v>
      </c>
      <c r="M26" s="7">
        <v>0</v>
      </c>
      <c r="N26" s="7">
        <v>3771.18</v>
      </c>
      <c r="O26" s="7">
        <v>18</v>
      </c>
      <c r="P26" s="7">
        <v>678.82</v>
      </c>
      <c r="Q26" s="7">
        <v>4450</v>
      </c>
      <c r="R26" s="7" t="s">
        <v>106</v>
      </c>
      <c r="S26" s="7" t="s">
        <v>188</v>
      </c>
      <c r="T26" s="7" t="s">
        <v>96</v>
      </c>
      <c r="U26" s="7" t="s">
        <v>189</v>
      </c>
      <c r="V26" s="7" t="s">
        <v>803</v>
      </c>
      <c r="W26" s="7" t="s">
        <v>96</v>
      </c>
      <c r="X26" s="7" t="s">
        <v>752</v>
      </c>
      <c r="Y26" s="7" t="s">
        <v>99</v>
      </c>
      <c r="Z26" s="7" t="s">
        <v>96</v>
      </c>
      <c r="AA26" s="7" t="s">
        <v>190</v>
      </c>
      <c r="AB26" s="7" t="s">
        <v>191</v>
      </c>
      <c r="AC26" s="7" t="s">
        <v>96</v>
      </c>
      <c r="AD26" s="38" t="s">
        <v>736</v>
      </c>
      <c r="AE26" t="str">
        <f>IFERROR(VLOOKUP($B26,Sheet3!B:D,3,0),"")</f>
        <v>AHMEDABAD</v>
      </c>
      <c r="AF26" t="str">
        <f>IFERROR(VLOOKUP($B26,Sheet3!B:H,7,0),"")</f>
        <v>DIGVIJAY SINGH</v>
      </c>
      <c r="AG26">
        <f>-(L26)</f>
        <v>0</v>
      </c>
      <c r="AH26">
        <v>0</v>
      </c>
    </row>
    <row r="27" spans="1:35" x14ac:dyDescent="0.25">
      <c r="A27" s="39">
        <v>46113</v>
      </c>
      <c r="B27" s="7" t="s">
        <v>148</v>
      </c>
      <c r="C27" s="7" t="s">
        <v>186</v>
      </c>
      <c r="D27" s="7" t="s">
        <v>187</v>
      </c>
      <c r="E27" s="7"/>
      <c r="F27" s="8">
        <v>46142</v>
      </c>
      <c r="G27" s="7">
        <v>1</v>
      </c>
      <c r="H27" s="7" t="s">
        <v>801</v>
      </c>
      <c r="I27" s="7" t="s">
        <v>749</v>
      </c>
      <c r="J27" s="7" t="s">
        <v>802</v>
      </c>
      <c r="K27" s="7">
        <v>4450</v>
      </c>
      <c r="L27" s="7">
        <v>0</v>
      </c>
      <c r="M27" s="7">
        <v>0</v>
      </c>
      <c r="N27" s="7">
        <v>3771.18</v>
      </c>
      <c r="O27" s="7">
        <v>18</v>
      </c>
      <c r="P27" s="7">
        <v>678.82</v>
      </c>
      <c r="Q27" s="7">
        <v>4450</v>
      </c>
      <c r="R27" s="7" t="s">
        <v>106</v>
      </c>
      <c r="S27" s="7" t="s">
        <v>188</v>
      </c>
      <c r="T27" s="7" t="s">
        <v>96</v>
      </c>
      <c r="U27" s="7" t="s">
        <v>189</v>
      </c>
      <c r="V27" s="7" t="s">
        <v>803</v>
      </c>
      <c r="W27" s="7" t="s">
        <v>96</v>
      </c>
      <c r="X27" s="7" t="s">
        <v>752</v>
      </c>
      <c r="Y27" s="7" t="s">
        <v>99</v>
      </c>
      <c r="Z27" s="7" t="s">
        <v>96</v>
      </c>
      <c r="AA27" s="7" t="s">
        <v>190</v>
      </c>
      <c r="AB27" s="7" t="s">
        <v>191</v>
      </c>
      <c r="AC27" s="7" t="s">
        <v>96</v>
      </c>
      <c r="AD27" s="38" t="s">
        <v>736</v>
      </c>
      <c r="AE27" t="str">
        <f>IFERROR(VLOOKUP($B27,Sheet3!B:D,3,0),"")</f>
        <v>AHMEDABAD</v>
      </c>
      <c r="AF27" t="str">
        <f>IFERROR(VLOOKUP($B27,Sheet3!B:H,7,0),"")</f>
        <v>DIGVIJAY SINGH</v>
      </c>
      <c r="AG27">
        <f>-(L27)</f>
        <v>0</v>
      </c>
      <c r="AH27">
        <v>0</v>
      </c>
    </row>
    <row r="28" spans="1:35" x14ac:dyDescent="0.25">
      <c r="A28" s="39">
        <v>46143</v>
      </c>
      <c r="B28" s="7" t="s">
        <v>117</v>
      </c>
      <c r="C28" s="7" t="s">
        <v>118</v>
      </c>
      <c r="D28" s="7" t="s">
        <v>192</v>
      </c>
      <c r="E28" s="7"/>
      <c r="F28" s="8">
        <v>46147</v>
      </c>
      <c r="G28" s="7">
        <v>1</v>
      </c>
      <c r="H28" s="7" t="s">
        <v>37</v>
      </c>
      <c r="I28" s="7" t="s">
        <v>104</v>
      </c>
      <c r="J28" s="7" t="s">
        <v>193</v>
      </c>
      <c r="K28" s="7">
        <v>39500</v>
      </c>
      <c r="L28" s="7">
        <v>-7900</v>
      </c>
      <c r="M28" s="7">
        <v>0</v>
      </c>
      <c r="N28" s="7">
        <v>30095.24</v>
      </c>
      <c r="O28" s="7">
        <v>5</v>
      </c>
      <c r="P28" s="7">
        <v>1504.76</v>
      </c>
      <c r="Q28" s="7">
        <v>31600</v>
      </c>
      <c r="R28" s="7" t="s">
        <v>106</v>
      </c>
      <c r="S28" s="7" t="s">
        <v>194</v>
      </c>
      <c r="T28" s="7" t="s">
        <v>116</v>
      </c>
      <c r="U28" s="7" t="s">
        <v>195</v>
      </c>
      <c r="V28" s="7" t="s">
        <v>96</v>
      </c>
      <c r="W28" s="7" t="s">
        <v>96</v>
      </c>
      <c r="X28" s="7" t="s">
        <v>109</v>
      </c>
      <c r="Y28" s="7" t="s">
        <v>99</v>
      </c>
      <c r="Z28" s="7" t="s">
        <v>96</v>
      </c>
      <c r="AA28" s="7" t="s">
        <v>196</v>
      </c>
      <c r="AB28" s="7" t="s">
        <v>197</v>
      </c>
      <c r="AC28" s="7" t="s">
        <v>96</v>
      </c>
      <c r="AD28" s="40" t="s">
        <v>813</v>
      </c>
      <c r="AE28" t="str">
        <f>IFERROR(VLOOKUP($B28,Sheet3!B:D,3,0),"")</f>
        <v>BENGALURU</v>
      </c>
      <c r="AF28" t="str">
        <f>IFERROR(VLOOKUP($B28,Sheet3!B:H,7,0),"")</f>
        <v>D. N.CHOWDHURY</v>
      </c>
      <c r="AG28">
        <f>-(L28)</f>
        <v>7900</v>
      </c>
      <c r="AH28">
        <f t="shared" si="0"/>
        <v>7900</v>
      </c>
      <c r="AI28">
        <f>G28*500</f>
        <v>500</v>
      </c>
    </row>
    <row r="29" spans="1:35" x14ac:dyDescent="0.25">
      <c r="A29" s="39">
        <v>46143</v>
      </c>
      <c r="B29" s="7" t="s">
        <v>117</v>
      </c>
      <c r="C29" s="7" t="s">
        <v>118</v>
      </c>
      <c r="D29" s="7" t="s">
        <v>192</v>
      </c>
      <c r="E29" s="7"/>
      <c r="F29" s="8">
        <v>46147</v>
      </c>
      <c r="G29" s="7">
        <v>1</v>
      </c>
      <c r="H29" s="7" t="s">
        <v>791</v>
      </c>
      <c r="I29" s="7" t="s">
        <v>749</v>
      </c>
      <c r="J29" s="7" t="s">
        <v>792</v>
      </c>
      <c r="K29" s="7">
        <v>4450</v>
      </c>
      <c r="L29" s="7">
        <v>0</v>
      </c>
      <c r="M29" s="7">
        <v>0</v>
      </c>
      <c r="N29" s="7">
        <v>4238.1000000000004</v>
      </c>
      <c r="O29" s="7">
        <v>5</v>
      </c>
      <c r="P29" s="7">
        <v>211.9</v>
      </c>
      <c r="Q29" s="7">
        <v>4450</v>
      </c>
      <c r="R29" s="7" t="s">
        <v>106</v>
      </c>
      <c r="S29" s="7" t="s">
        <v>194</v>
      </c>
      <c r="T29" s="7" t="s">
        <v>96</v>
      </c>
      <c r="U29" s="7" t="s">
        <v>195</v>
      </c>
      <c r="V29" s="7" t="s">
        <v>793</v>
      </c>
      <c r="W29" s="7" t="s">
        <v>96</v>
      </c>
      <c r="X29" s="7" t="s">
        <v>752</v>
      </c>
      <c r="Y29" s="7" t="s">
        <v>99</v>
      </c>
      <c r="Z29" s="7" t="s">
        <v>96</v>
      </c>
      <c r="AA29" s="7" t="s">
        <v>196</v>
      </c>
      <c r="AB29" s="7" t="s">
        <v>197</v>
      </c>
      <c r="AC29" s="7" t="s">
        <v>96</v>
      </c>
      <c r="AD29" s="38" t="s">
        <v>736</v>
      </c>
      <c r="AE29" t="str">
        <f>IFERROR(VLOOKUP($B29,Sheet3!B:D,3,0),"")</f>
        <v>BENGALURU</v>
      </c>
      <c r="AF29" t="str">
        <f>IFERROR(VLOOKUP($B29,Sheet3!B:H,7,0),"")</f>
        <v>D. N.CHOWDHURY</v>
      </c>
      <c r="AG29">
        <f>-(L29)</f>
        <v>0</v>
      </c>
      <c r="AH29">
        <v>0</v>
      </c>
    </row>
    <row r="30" spans="1:35" x14ac:dyDescent="0.25">
      <c r="A30" s="39">
        <v>46143</v>
      </c>
      <c r="B30" s="7" t="s">
        <v>117</v>
      </c>
      <c r="C30" s="7" t="s">
        <v>118</v>
      </c>
      <c r="D30" s="7" t="s">
        <v>192</v>
      </c>
      <c r="E30" s="7"/>
      <c r="F30" s="8">
        <v>46147</v>
      </c>
      <c r="G30" s="7">
        <v>1</v>
      </c>
      <c r="H30" s="7" t="s">
        <v>791</v>
      </c>
      <c r="I30" s="7" t="s">
        <v>749</v>
      </c>
      <c r="J30" s="7" t="s">
        <v>792</v>
      </c>
      <c r="K30" s="7">
        <v>4450</v>
      </c>
      <c r="L30" s="7">
        <v>0</v>
      </c>
      <c r="M30" s="7">
        <v>0</v>
      </c>
      <c r="N30" s="7">
        <v>4238.1000000000004</v>
      </c>
      <c r="O30" s="7">
        <v>5</v>
      </c>
      <c r="P30" s="7">
        <v>211.9</v>
      </c>
      <c r="Q30" s="7">
        <v>4450</v>
      </c>
      <c r="R30" s="7" t="s">
        <v>106</v>
      </c>
      <c r="S30" s="7" t="s">
        <v>194</v>
      </c>
      <c r="T30" s="7" t="s">
        <v>96</v>
      </c>
      <c r="U30" s="7" t="s">
        <v>195</v>
      </c>
      <c r="V30" s="7" t="s">
        <v>793</v>
      </c>
      <c r="W30" s="7" t="s">
        <v>96</v>
      </c>
      <c r="X30" s="7" t="s">
        <v>752</v>
      </c>
      <c r="Y30" s="7" t="s">
        <v>99</v>
      </c>
      <c r="Z30" s="7" t="s">
        <v>96</v>
      </c>
      <c r="AA30" s="7" t="s">
        <v>196</v>
      </c>
      <c r="AB30" s="7" t="s">
        <v>197</v>
      </c>
      <c r="AC30" s="7" t="s">
        <v>96</v>
      </c>
      <c r="AD30" s="38" t="s">
        <v>736</v>
      </c>
      <c r="AE30" t="str">
        <f>IFERROR(VLOOKUP($B30,Sheet3!B:D,3,0),"")</f>
        <v>BENGALURU</v>
      </c>
      <c r="AF30" t="str">
        <f>IFERROR(VLOOKUP($B30,Sheet3!B:H,7,0),"")</f>
        <v>D. N.CHOWDHURY</v>
      </c>
      <c r="AG30">
        <f>-(L30)</f>
        <v>0</v>
      </c>
      <c r="AH30">
        <v>0</v>
      </c>
    </row>
    <row r="31" spans="1:35" x14ac:dyDescent="0.25">
      <c r="A31" s="39">
        <v>46143</v>
      </c>
      <c r="B31" s="7" t="s">
        <v>117</v>
      </c>
      <c r="C31" s="7" t="s">
        <v>118</v>
      </c>
      <c r="D31" s="7" t="s">
        <v>198</v>
      </c>
      <c r="E31" s="7"/>
      <c r="F31" s="8">
        <v>46154</v>
      </c>
      <c r="G31" s="7">
        <v>1</v>
      </c>
      <c r="H31" s="7" t="s">
        <v>39</v>
      </c>
      <c r="I31" s="7" t="s">
        <v>104</v>
      </c>
      <c r="J31" s="7" t="s">
        <v>199</v>
      </c>
      <c r="K31" s="7">
        <v>39500</v>
      </c>
      <c r="L31" s="7">
        <v>-7900</v>
      </c>
      <c r="M31" s="7">
        <v>0</v>
      </c>
      <c r="N31" s="7">
        <v>30095.24</v>
      </c>
      <c r="O31" s="7">
        <v>5</v>
      </c>
      <c r="P31" s="7">
        <v>1504.76</v>
      </c>
      <c r="Q31" s="7">
        <v>31600</v>
      </c>
      <c r="R31" s="7" t="s">
        <v>114</v>
      </c>
      <c r="S31" s="7" t="s">
        <v>200</v>
      </c>
      <c r="T31" s="7" t="s">
        <v>116</v>
      </c>
      <c r="U31" s="7" t="s">
        <v>195</v>
      </c>
      <c r="V31" s="7" t="s">
        <v>96</v>
      </c>
      <c r="W31" s="7" t="s">
        <v>96</v>
      </c>
      <c r="X31" s="7" t="s">
        <v>109</v>
      </c>
      <c r="Y31" s="7" t="s">
        <v>99</v>
      </c>
      <c r="Z31" s="7" t="s">
        <v>96</v>
      </c>
      <c r="AA31" s="7" t="s">
        <v>96</v>
      </c>
      <c r="AB31" s="7" t="s">
        <v>96</v>
      </c>
      <c r="AC31" s="7" t="s">
        <v>96</v>
      </c>
      <c r="AD31" s="40" t="s">
        <v>813</v>
      </c>
      <c r="AE31" t="str">
        <f>IFERROR(VLOOKUP($B31,Sheet3!B:D,3,0),"")</f>
        <v>BENGALURU</v>
      </c>
      <c r="AF31" t="str">
        <f>IFERROR(VLOOKUP($B31,Sheet3!B:H,7,0),"")</f>
        <v>D. N.CHOWDHURY</v>
      </c>
      <c r="AG31">
        <f>-(L31)</f>
        <v>7900</v>
      </c>
      <c r="AH31">
        <f t="shared" si="0"/>
        <v>7900</v>
      </c>
      <c r="AI31">
        <f t="shared" ref="AI31:AI32" si="5">G31*500</f>
        <v>500</v>
      </c>
    </row>
    <row r="32" spans="1:35" x14ac:dyDescent="0.25">
      <c r="A32" s="39">
        <v>46143</v>
      </c>
      <c r="B32" s="7" t="s">
        <v>153</v>
      </c>
      <c r="C32" s="7" t="s">
        <v>201</v>
      </c>
      <c r="D32" s="7" t="s">
        <v>202</v>
      </c>
      <c r="E32" s="7"/>
      <c r="F32" s="8">
        <v>46156</v>
      </c>
      <c r="G32" s="7">
        <v>1</v>
      </c>
      <c r="H32" s="7" t="s">
        <v>19</v>
      </c>
      <c r="I32" s="7" t="s">
        <v>92</v>
      </c>
      <c r="J32" s="7" t="s">
        <v>203</v>
      </c>
      <c r="K32" s="7">
        <v>34500</v>
      </c>
      <c r="L32" s="7">
        <v>-3450</v>
      </c>
      <c r="M32" s="7">
        <v>0</v>
      </c>
      <c r="N32" s="7">
        <v>29571.42</v>
      </c>
      <c r="O32" s="7">
        <v>5</v>
      </c>
      <c r="P32" s="7">
        <v>1478.58</v>
      </c>
      <c r="Q32" s="7">
        <v>31050</v>
      </c>
      <c r="R32" s="7" t="s">
        <v>94</v>
      </c>
      <c r="S32" s="7" t="s">
        <v>204</v>
      </c>
      <c r="T32" s="7" t="s">
        <v>205</v>
      </c>
      <c r="U32" s="7" t="s">
        <v>206</v>
      </c>
      <c r="V32" s="7" t="s">
        <v>96</v>
      </c>
      <c r="W32" s="7" t="s">
        <v>96</v>
      </c>
      <c r="X32" s="7" t="s">
        <v>98</v>
      </c>
      <c r="Y32" s="7" t="s">
        <v>99</v>
      </c>
      <c r="Z32" s="7" t="s">
        <v>96</v>
      </c>
      <c r="AA32" s="7" t="s">
        <v>207</v>
      </c>
      <c r="AB32" s="7" t="s">
        <v>208</v>
      </c>
      <c r="AC32" s="7" t="s">
        <v>96</v>
      </c>
      <c r="AD32" s="40" t="s">
        <v>825</v>
      </c>
      <c r="AE32" t="str">
        <f>IFERROR(VLOOKUP($B32,Sheet3!B:D,3,0),"")</f>
        <v>RANCHI</v>
      </c>
      <c r="AF32" t="str">
        <f>IFERROR(VLOOKUP($B32,Sheet3!B:H,7,0),"")</f>
        <v xml:space="preserve">JOYDEEP DATTA </v>
      </c>
      <c r="AG32">
        <f>-(L32)</f>
        <v>3450</v>
      </c>
      <c r="AH32">
        <f t="shared" si="0"/>
        <v>3450</v>
      </c>
      <c r="AI32">
        <f t="shared" si="5"/>
        <v>500</v>
      </c>
    </row>
    <row r="33" spans="1:35" x14ac:dyDescent="0.25">
      <c r="A33" s="39">
        <v>46143</v>
      </c>
      <c r="B33" s="7" t="s">
        <v>153</v>
      </c>
      <c r="C33" s="7" t="s">
        <v>201</v>
      </c>
      <c r="D33" s="7" t="s">
        <v>202</v>
      </c>
      <c r="E33" s="7"/>
      <c r="F33" s="8">
        <v>46156</v>
      </c>
      <c r="G33" s="7">
        <v>1</v>
      </c>
      <c r="H33" s="7" t="s">
        <v>778</v>
      </c>
      <c r="I33" s="7" t="s">
        <v>779</v>
      </c>
      <c r="J33" s="7" t="s">
        <v>780</v>
      </c>
      <c r="K33" s="7">
        <v>1650</v>
      </c>
      <c r="L33" s="7">
        <v>0</v>
      </c>
      <c r="M33" s="7">
        <v>0</v>
      </c>
      <c r="N33" s="7">
        <v>1571.42</v>
      </c>
      <c r="O33" s="7">
        <v>5</v>
      </c>
      <c r="P33" s="7">
        <v>78.58</v>
      </c>
      <c r="Q33" s="7">
        <v>1650</v>
      </c>
      <c r="R33" s="7" t="s">
        <v>94</v>
      </c>
      <c r="S33" s="7" t="s">
        <v>204</v>
      </c>
      <c r="T33" s="7" t="s">
        <v>96</v>
      </c>
      <c r="U33" s="7" t="s">
        <v>206</v>
      </c>
      <c r="V33" s="7" t="s">
        <v>781</v>
      </c>
      <c r="W33" s="7" t="s">
        <v>782</v>
      </c>
      <c r="X33" s="7" t="s">
        <v>783</v>
      </c>
      <c r="Y33" s="7" t="s">
        <v>99</v>
      </c>
      <c r="Z33" s="7" t="s">
        <v>96</v>
      </c>
      <c r="AA33" s="7" t="s">
        <v>207</v>
      </c>
      <c r="AB33" s="7" t="s">
        <v>208</v>
      </c>
      <c r="AC33" s="7" t="s">
        <v>96</v>
      </c>
      <c r="AD33" s="38" t="s">
        <v>736</v>
      </c>
      <c r="AE33" t="str">
        <f>IFERROR(VLOOKUP($B33,Sheet3!B:D,3,0),"")</f>
        <v>RANCHI</v>
      </c>
      <c r="AF33" t="str">
        <f>IFERROR(VLOOKUP($B33,Sheet3!B:H,7,0),"")</f>
        <v xml:space="preserve">JOYDEEP DATTA </v>
      </c>
      <c r="AG33">
        <f>-(L33)</f>
        <v>0</v>
      </c>
      <c r="AH33">
        <v>0</v>
      </c>
    </row>
    <row r="34" spans="1:35" x14ac:dyDescent="0.25">
      <c r="A34" s="39">
        <v>46143</v>
      </c>
      <c r="B34" s="7" t="s">
        <v>153</v>
      </c>
      <c r="C34" s="7" t="s">
        <v>201</v>
      </c>
      <c r="D34" s="7" t="s">
        <v>202</v>
      </c>
      <c r="E34" s="7"/>
      <c r="F34" s="8">
        <v>46156</v>
      </c>
      <c r="G34" s="7">
        <v>1</v>
      </c>
      <c r="H34" s="7" t="s">
        <v>778</v>
      </c>
      <c r="I34" s="7" t="s">
        <v>779</v>
      </c>
      <c r="J34" s="7" t="s">
        <v>780</v>
      </c>
      <c r="K34" s="7">
        <v>1650</v>
      </c>
      <c r="L34" s="7">
        <v>0</v>
      </c>
      <c r="M34" s="7">
        <v>0</v>
      </c>
      <c r="N34" s="7">
        <v>1571.42</v>
      </c>
      <c r="O34" s="7">
        <v>5</v>
      </c>
      <c r="P34" s="7">
        <v>78.58</v>
      </c>
      <c r="Q34" s="7">
        <v>1650</v>
      </c>
      <c r="R34" s="7" t="s">
        <v>94</v>
      </c>
      <c r="S34" s="7" t="s">
        <v>204</v>
      </c>
      <c r="T34" s="7" t="s">
        <v>96</v>
      </c>
      <c r="U34" s="7" t="s">
        <v>206</v>
      </c>
      <c r="V34" s="7" t="s">
        <v>781</v>
      </c>
      <c r="W34" s="7" t="s">
        <v>782</v>
      </c>
      <c r="X34" s="7" t="s">
        <v>783</v>
      </c>
      <c r="Y34" s="7" t="s">
        <v>99</v>
      </c>
      <c r="Z34" s="7" t="s">
        <v>96</v>
      </c>
      <c r="AA34" s="7" t="s">
        <v>207</v>
      </c>
      <c r="AB34" s="7" t="s">
        <v>208</v>
      </c>
      <c r="AC34" s="7" t="s">
        <v>96</v>
      </c>
      <c r="AD34" s="38" t="s">
        <v>736</v>
      </c>
      <c r="AE34" t="str">
        <f>IFERROR(VLOOKUP($B34,Sheet3!B:D,3,0),"")</f>
        <v>RANCHI</v>
      </c>
      <c r="AF34" t="str">
        <f>IFERROR(VLOOKUP($B34,Sheet3!B:H,7,0),"")</f>
        <v xml:space="preserve">JOYDEEP DATTA </v>
      </c>
      <c r="AG34">
        <f>-(L34)</f>
        <v>0</v>
      </c>
      <c r="AH34">
        <v>0</v>
      </c>
    </row>
    <row r="35" spans="1:35" x14ac:dyDescent="0.25">
      <c r="A35" s="39">
        <v>46143</v>
      </c>
      <c r="B35" s="7" t="s">
        <v>125</v>
      </c>
      <c r="C35" s="7" t="s">
        <v>126</v>
      </c>
      <c r="D35" s="7" t="s">
        <v>209</v>
      </c>
      <c r="E35" s="7"/>
      <c r="F35" s="8">
        <v>46159</v>
      </c>
      <c r="G35" s="7">
        <v>1</v>
      </c>
      <c r="H35" s="7" t="s">
        <v>45</v>
      </c>
      <c r="I35" s="7" t="s">
        <v>104</v>
      </c>
      <c r="J35" s="7" t="s">
        <v>210</v>
      </c>
      <c r="K35" s="7">
        <v>45000</v>
      </c>
      <c r="L35" s="7">
        <v>-9000</v>
      </c>
      <c r="M35" s="7">
        <v>0</v>
      </c>
      <c r="N35" s="7">
        <v>34285.72</v>
      </c>
      <c r="O35" s="7">
        <v>5</v>
      </c>
      <c r="P35" s="7">
        <v>1714.28</v>
      </c>
      <c r="Q35" s="7">
        <v>36000</v>
      </c>
      <c r="R35" s="7" t="s">
        <v>106</v>
      </c>
      <c r="S35" s="7" t="s">
        <v>211</v>
      </c>
      <c r="T35" s="7" t="s">
        <v>116</v>
      </c>
      <c r="U35" s="7" t="s">
        <v>129</v>
      </c>
      <c r="V35" s="7" t="s">
        <v>96</v>
      </c>
      <c r="W35" s="7" t="s">
        <v>96</v>
      </c>
      <c r="X35" s="7" t="s">
        <v>109</v>
      </c>
      <c r="Y35" s="7" t="s">
        <v>99</v>
      </c>
      <c r="Z35" s="7" t="s">
        <v>96</v>
      </c>
      <c r="AA35" s="7" t="s">
        <v>212</v>
      </c>
      <c r="AB35" s="7" t="s">
        <v>213</v>
      </c>
      <c r="AC35" s="7" t="s">
        <v>96</v>
      </c>
      <c r="AD35" s="40" t="s">
        <v>813</v>
      </c>
      <c r="AE35" t="str">
        <f>IFERROR(VLOOKUP($B35,Sheet3!B:D,3,0),"")</f>
        <v>PUDUCHERRY</v>
      </c>
      <c r="AF35" t="str">
        <f>IFERROR(VLOOKUP($B35,Sheet3!B:H,7,0),"")</f>
        <v>D. N.CHOWDHURY</v>
      </c>
      <c r="AG35">
        <f>-(L35)</f>
        <v>9000</v>
      </c>
      <c r="AH35">
        <f t="shared" si="0"/>
        <v>9000</v>
      </c>
      <c r="AI35">
        <f>G35*500</f>
        <v>500</v>
      </c>
    </row>
    <row r="36" spans="1:35" x14ac:dyDescent="0.25">
      <c r="A36" s="39">
        <v>46143</v>
      </c>
      <c r="B36" s="7" t="s">
        <v>125</v>
      </c>
      <c r="C36" s="7" t="s">
        <v>126</v>
      </c>
      <c r="D36" s="7" t="s">
        <v>209</v>
      </c>
      <c r="E36" s="7"/>
      <c r="F36" s="8">
        <v>46159</v>
      </c>
      <c r="G36" s="7">
        <v>1</v>
      </c>
      <c r="H36" s="7" t="s">
        <v>794</v>
      </c>
      <c r="I36" s="7" t="s">
        <v>749</v>
      </c>
      <c r="J36" s="7" t="s">
        <v>795</v>
      </c>
      <c r="K36" s="7">
        <v>2050</v>
      </c>
      <c r="L36" s="7">
        <v>0</v>
      </c>
      <c r="M36" s="7">
        <v>0</v>
      </c>
      <c r="N36" s="7">
        <v>1952.38</v>
      </c>
      <c r="O36" s="7">
        <v>5</v>
      </c>
      <c r="P36" s="7">
        <v>97.62</v>
      </c>
      <c r="Q36" s="7">
        <v>2050</v>
      </c>
      <c r="R36" s="7" t="s">
        <v>106</v>
      </c>
      <c r="S36" s="7" t="s">
        <v>211</v>
      </c>
      <c r="T36" s="7" t="s">
        <v>96</v>
      </c>
      <c r="U36" s="7" t="s">
        <v>129</v>
      </c>
      <c r="V36" s="7" t="s">
        <v>751</v>
      </c>
      <c r="W36" s="7" t="s">
        <v>96</v>
      </c>
      <c r="X36" s="7" t="s">
        <v>752</v>
      </c>
      <c r="Y36" s="7" t="s">
        <v>99</v>
      </c>
      <c r="Z36" s="7" t="s">
        <v>96</v>
      </c>
      <c r="AA36" s="7" t="s">
        <v>212</v>
      </c>
      <c r="AB36" s="7" t="s">
        <v>213</v>
      </c>
      <c r="AC36" s="7" t="s">
        <v>96</v>
      </c>
      <c r="AD36" s="38" t="s">
        <v>736</v>
      </c>
      <c r="AE36" t="str">
        <f>IFERROR(VLOOKUP($B36,Sheet3!B:D,3,0),"")</f>
        <v>PUDUCHERRY</v>
      </c>
      <c r="AF36" t="str">
        <f>IFERROR(VLOOKUP($B36,Sheet3!B:H,7,0),"")</f>
        <v>D. N.CHOWDHURY</v>
      </c>
      <c r="AG36">
        <f>-(L36)</f>
        <v>0</v>
      </c>
      <c r="AH36">
        <v>0</v>
      </c>
    </row>
    <row r="37" spans="1:35" x14ac:dyDescent="0.25">
      <c r="A37" s="39">
        <v>46143</v>
      </c>
      <c r="B37" s="7" t="s">
        <v>125</v>
      </c>
      <c r="C37" s="7" t="s">
        <v>126</v>
      </c>
      <c r="D37" s="7" t="s">
        <v>209</v>
      </c>
      <c r="E37" s="7"/>
      <c r="F37" s="8">
        <v>46159</v>
      </c>
      <c r="G37" s="7">
        <v>1</v>
      </c>
      <c r="H37" s="7" t="s">
        <v>794</v>
      </c>
      <c r="I37" s="7" t="s">
        <v>749</v>
      </c>
      <c r="J37" s="7" t="s">
        <v>795</v>
      </c>
      <c r="K37" s="7">
        <v>2050</v>
      </c>
      <c r="L37" s="7">
        <v>0</v>
      </c>
      <c r="M37" s="7">
        <v>0</v>
      </c>
      <c r="N37" s="7">
        <v>1952.38</v>
      </c>
      <c r="O37" s="7">
        <v>5</v>
      </c>
      <c r="P37" s="7">
        <v>97.62</v>
      </c>
      <c r="Q37" s="7">
        <v>2050</v>
      </c>
      <c r="R37" s="7" t="s">
        <v>106</v>
      </c>
      <c r="S37" s="7" t="s">
        <v>211</v>
      </c>
      <c r="T37" s="7" t="s">
        <v>96</v>
      </c>
      <c r="U37" s="7" t="s">
        <v>129</v>
      </c>
      <c r="V37" s="7" t="s">
        <v>751</v>
      </c>
      <c r="W37" s="7" t="s">
        <v>96</v>
      </c>
      <c r="X37" s="7" t="s">
        <v>752</v>
      </c>
      <c r="Y37" s="7" t="s">
        <v>99</v>
      </c>
      <c r="Z37" s="7" t="s">
        <v>96</v>
      </c>
      <c r="AA37" s="7" t="s">
        <v>212</v>
      </c>
      <c r="AB37" s="7" t="s">
        <v>213</v>
      </c>
      <c r="AC37" s="7" t="s">
        <v>96</v>
      </c>
      <c r="AD37" s="38" t="s">
        <v>736</v>
      </c>
      <c r="AE37" t="str">
        <f>IFERROR(VLOOKUP($B37,Sheet3!B:D,3,0),"")</f>
        <v>PUDUCHERRY</v>
      </c>
      <c r="AF37" t="str">
        <f>IFERROR(VLOOKUP($B37,Sheet3!B:H,7,0),"")</f>
        <v>D. N.CHOWDHURY</v>
      </c>
      <c r="AG37">
        <f>-(L37)</f>
        <v>0</v>
      </c>
      <c r="AH37">
        <v>0</v>
      </c>
    </row>
    <row r="38" spans="1:35" x14ac:dyDescent="0.25">
      <c r="A38" s="39">
        <v>46143</v>
      </c>
      <c r="B38" s="7" t="s">
        <v>154</v>
      </c>
      <c r="C38" s="7" t="s">
        <v>214</v>
      </c>
      <c r="D38" s="7" t="s">
        <v>215</v>
      </c>
      <c r="E38" s="7"/>
      <c r="F38" s="8">
        <v>46162</v>
      </c>
      <c r="G38" s="7">
        <v>1</v>
      </c>
      <c r="H38" s="7" t="s">
        <v>35</v>
      </c>
      <c r="I38" s="7" t="s">
        <v>104</v>
      </c>
      <c r="J38" s="7" t="s">
        <v>216</v>
      </c>
      <c r="K38" s="7">
        <v>32500</v>
      </c>
      <c r="L38" s="7">
        <v>0</v>
      </c>
      <c r="M38" s="7">
        <v>0</v>
      </c>
      <c r="N38" s="7">
        <v>30952.38</v>
      </c>
      <c r="O38" s="7">
        <v>5</v>
      </c>
      <c r="P38" s="7">
        <v>1547.62</v>
      </c>
      <c r="Q38" s="7">
        <v>32500</v>
      </c>
      <c r="R38" s="7" t="s">
        <v>106</v>
      </c>
      <c r="S38" s="7" t="s">
        <v>217</v>
      </c>
      <c r="T38" s="7" t="s">
        <v>96</v>
      </c>
      <c r="U38" s="7" t="s">
        <v>218</v>
      </c>
      <c r="V38" s="7" t="s">
        <v>96</v>
      </c>
      <c r="W38" s="7" t="s">
        <v>96</v>
      </c>
      <c r="X38" s="7" t="s">
        <v>109</v>
      </c>
      <c r="Y38" s="7" t="s">
        <v>99</v>
      </c>
      <c r="Z38" s="7" t="s">
        <v>96</v>
      </c>
      <c r="AA38" s="7" t="s">
        <v>219</v>
      </c>
      <c r="AB38" s="7" t="s">
        <v>220</v>
      </c>
      <c r="AC38" s="7" t="s">
        <v>96</v>
      </c>
      <c r="AD38" s="40" t="s">
        <v>813</v>
      </c>
      <c r="AE38" t="str">
        <f>IFERROR(VLOOKUP($B38,Sheet3!B:D,3,0),"")</f>
        <v>GURUGRAM</v>
      </c>
      <c r="AF38" t="str">
        <f>IFERROR(VLOOKUP($B38,Sheet3!B:H,7,0),"")</f>
        <v>AMANDEEP SINGH GILL</v>
      </c>
      <c r="AG38">
        <f>-(L38)</f>
        <v>0</v>
      </c>
      <c r="AH38">
        <f t="shared" si="0"/>
        <v>0</v>
      </c>
      <c r="AI38">
        <f>G38*500</f>
        <v>500</v>
      </c>
    </row>
    <row r="39" spans="1:35" x14ac:dyDescent="0.25">
      <c r="A39" s="39">
        <v>46143</v>
      </c>
      <c r="B39" s="7" t="s">
        <v>154</v>
      </c>
      <c r="C39" s="7" t="s">
        <v>214</v>
      </c>
      <c r="D39" s="7" t="s">
        <v>215</v>
      </c>
      <c r="E39" s="7"/>
      <c r="F39" s="8">
        <v>46162</v>
      </c>
      <c r="G39" s="7">
        <v>1</v>
      </c>
      <c r="H39" s="7" t="s">
        <v>774</v>
      </c>
      <c r="I39" s="7" t="s">
        <v>775</v>
      </c>
      <c r="J39" s="7" t="s">
        <v>776</v>
      </c>
      <c r="K39" s="7">
        <v>12960</v>
      </c>
      <c r="L39" s="7">
        <v>-6480</v>
      </c>
      <c r="M39" s="7">
        <v>0</v>
      </c>
      <c r="N39" s="7">
        <v>6171.42</v>
      </c>
      <c r="O39" s="7">
        <v>5</v>
      </c>
      <c r="P39" s="7">
        <v>308.58</v>
      </c>
      <c r="Q39" s="7">
        <v>6480</v>
      </c>
      <c r="R39" s="7" t="s">
        <v>106</v>
      </c>
      <c r="S39" s="7" t="s">
        <v>217</v>
      </c>
      <c r="T39" s="7" t="s">
        <v>777</v>
      </c>
      <c r="U39" s="7" t="s">
        <v>218</v>
      </c>
      <c r="V39" s="7" t="s">
        <v>740</v>
      </c>
      <c r="W39" s="7" t="s">
        <v>96</v>
      </c>
      <c r="X39" s="7" t="s">
        <v>765</v>
      </c>
      <c r="Y39" s="7" t="s">
        <v>99</v>
      </c>
      <c r="Z39" s="7" t="s">
        <v>96</v>
      </c>
      <c r="AA39" s="7" t="s">
        <v>219</v>
      </c>
      <c r="AB39" s="7" t="s">
        <v>220</v>
      </c>
      <c r="AC39" s="7" t="s">
        <v>96</v>
      </c>
      <c r="AD39" s="38" t="s">
        <v>736</v>
      </c>
      <c r="AE39" t="str">
        <f>IFERROR(VLOOKUP($B39,Sheet3!B:D,3,0),"")</f>
        <v>GURUGRAM</v>
      </c>
      <c r="AF39" t="str">
        <f>IFERROR(VLOOKUP($B39,Sheet3!B:H,7,0),"")</f>
        <v>AMANDEEP SINGH GILL</v>
      </c>
      <c r="AG39">
        <f>-(L39)</f>
        <v>6480</v>
      </c>
      <c r="AH39">
        <v>0</v>
      </c>
    </row>
    <row r="40" spans="1:35" x14ac:dyDescent="0.25">
      <c r="A40" s="39">
        <v>46143</v>
      </c>
      <c r="B40" s="7" t="s">
        <v>154</v>
      </c>
      <c r="C40" s="7" t="s">
        <v>214</v>
      </c>
      <c r="D40" s="7" t="s">
        <v>215</v>
      </c>
      <c r="E40" s="7"/>
      <c r="F40" s="8">
        <v>46162</v>
      </c>
      <c r="G40" s="7">
        <v>1</v>
      </c>
      <c r="H40" s="7" t="s">
        <v>774</v>
      </c>
      <c r="I40" s="7" t="s">
        <v>775</v>
      </c>
      <c r="J40" s="7" t="s">
        <v>776</v>
      </c>
      <c r="K40" s="7">
        <v>12960</v>
      </c>
      <c r="L40" s="7">
        <v>-6480</v>
      </c>
      <c r="M40" s="7">
        <v>0</v>
      </c>
      <c r="N40" s="7">
        <v>6171.42</v>
      </c>
      <c r="O40" s="7">
        <v>5</v>
      </c>
      <c r="P40" s="7">
        <v>308.58</v>
      </c>
      <c r="Q40" s="7">
        <v>6480</v>
      </c>
      <c r="R40" s="7" t="s">
        <v>106</v>
      </c>
      <c r="S40" s="7" t="s">
        <v>217</v>
      </c>
      <c r="T40" s="7" t="s">
        <v>777</v>
      </c>
      <c r="U40" s="7" t="s">
        <v>218</v>
      </c>
      <c r="V40" s="7" t="s">
        <v>740</v>
      </c>
      <c r="W40" s="7" t="s">
        <v>96</v>
      </c>
      <c r="X40" s="7" t="s">
        <v>765</v>
      </c>
      <c r="Y40" s="7" t="s">
        <v>99</v>
      </c>
      <c r="Z40" s="7" t="s">
        <v>96</v>
      </c>
      <c r="AA40" s="7" t="s">
        <v>219</v>
      </c>
      <c r="AB40" s="7" t="s">
        <v>220</v>
      </c>
      <c r="AC40" s="7" t="s">
        <v>96</v>
      </c>
      <c r="AD40" s="38" t="s">
        <v>736</v>
      </c>
      <c r="AE40" t="str">
        <f>IFERROR(VLOOKUP($B40,Sheet3!B:D,3,0),"")</f>
        <v>GURUGRAM</v>
      </c>
      <c r="AF40" t="str">
        <f>IFERROR(VLOOKUP($B40,Sheet3!B:H,7,0),"")</f>
        <v>AMANDEEP SINGH GILL</v>
      </c>
      <c r="AG40">
        <f>-(L40)</f>
        <v>6480</v>
      </c>
      <c r="AH40">
        <v>0</v>
      </c>
    </row>
    <row r="41" spans="1:35" x14ac:dyDescent="0.25">
      <c r="A41" s="39">
        <v>46143</v>
      </c>
      <c r="B41" s="7" t="s">
        <v>101</v>
      </c>
      <c r="C41" s="7" t="s">
        <v>102</v>
      </c>
      <c r="D41" s="7" t="s">
        <v>221</v>
      </c>
      <c r="E41" s="7"/>
      <c r="F41" s="8">
        <v>46168</v>
      </c>
      <c r="G41" s="7">
        <v>1</v>
      </c>
      <c r="H41" s="7" t="s">
        <v>35</v>
      </c>
      <c r="I41" s="7" t="s">
        <v>104</v>
      </c>
      <c r="J41" s="7" t="s">
        <v>216</v>
      </c>
      <c r="K41" s="7">
        <v>32500</v>
      </c>
      <c r="L41" s="7">
        <v>-2537.6</v>
      </c>
      <c r="M41" s="7">
        <v>0</v>
      </c>
      <c r="N41" s="7">
        <v>28535.62</v>
      </c>
      <c r="O41" s="7">
        <v>5</v>
      </c>
      <c r="P41" s="7">
        <v>1426.78</v>
      </c>
      <c r="Q41" s="7">
        <v>29962.400000000001</v>
      </c>
      <c r="R41" s="7" t="s">
        <v>106</v>
      </c>
      <c r="S41" s="7" t="s">
        <v>222</v>
      </c>
      <c r="T41" s="7" t="s">
        <v>96</v>
      </c>
      <c r="U41" s="7" t="s">
        <v>135</v>
      </c>
      <c r="V41" s="7" t="s">
        <v>96</v>
      </c>
      <c r="W41" s="7" t="s">
        <v>96</v>
      </c>
      <c r="X41" s="7" t="s">
        <v>109</v>
      </c>
      <c r="Y41" s="7" t="s">
        <v>99</v>
      </c>
      <c r="Z41" s="7" t="s">
        <v>96</v>
      </c>
      <c r="AA41" s="7" t="s">
        <v>223</v>
      </c>
      <c r="AB41" s="7" t="s">
        <v>224</v>
      </c>
      <c r="AC41" s="7" t="s">
        <v>96</v>
      </c>
      <c r="AD41" s="40" t="s">
        <v>813</v>
      </c>
      <c r="AE41" t="str">
        <f>IFERROR(VLOOKUP($B41,Sheet3!B:D,3,0),"")</f>
        <v>BENGALURU</v>
      </c>
      <c r="AF41" t="str">
        <f>IFERROR(VLOOKUP($B41,Sheet3!B:H,7,0),"")</f>
        <v>D. N.CHOWDHURY</v>
      </c>
      <c r="AG41">
        <f>-(L41)</f>
        <v>2537.6</v>
      </c>
      <c r="AH41">
        <f t="shared" si="0"/>
        <v>2537.6</v>
      </c>
      <c r="AI41">
        <f>G41*500</f>
        <v>500</v>
      </c>
    </row>
    <row r="42" spans="1:35" x14ac:dyDescent="0.25">
      <c r="A42" s="39">
        <v>46143</v>
      </c>
      <c r="B42" s="7" t="s">
        <v>101</v>
      </c>
      <c r="C42" s="7" t="s">
        <v>102</v>
      </c>
      <c r="D42" s="7" t="s">
        <v>221</v>
      </c>
      <c r="E42" s="7"/>
      <c r="F42" s="8">
        <v>46168</v>
      </c>
      <c r="G42" s="7">
        <v>1</v>
      </c>
      <c r="H42" s="7" t="s">
        <v>766</v>
      </c>
      <c r="I42" s="7" t="s">
        <v>767</v>
      </c>
      <c r="J42" s="7" t="s">
        <v>768</v>
      </c>
      <c r="K42" s="7">
        <v>33575</v>
      </c>
      <c r="L42" s="7">
        <v>-2457.6999999999998</v>
      </c>
      <c r="M42" s="7">
        <v>-2098.44</v>
      </c>
      <c r="N42" s="7">
        <v>27637</v>
      </c>
      <c r="O42" s="7">
        <v>5</v>
      </c>
      <c r="P42" s="7">
        <v>1381.86</v>
      </c>
      <c r="Q42" s="7">
        <v>29018.86</v>
      </c>
      <c r="R42" s="7" t="s">
        <v>106</v>
      </c>
      <c r="S42" s="7" t="s">
        <v>222</v>
      </c>
      <c r="T42" s="7" t="s">
        <v>96</v>
      </c>
      <c r="U42" s="7" t="s">
        <v>135</v>
      </c>
      <c r="V42" s="7" t="s">
        <v>769</v>
      </c>
      <c r="W42" s="7" t="s">
        <v>96</v>
      </c>
      <c r="X42" s="7" t="s">
        <v>765</v>
      </c>
      <c r="Y42" s="7" t="s">
        <v>99</v>
      </c>
      <c r="Z42" s="7" t="s">
        <v>96</v>
      </c>
      <c r="AA42" s="7" t="s">
        <v>223</v>
      </c>
      <c r="AB42" s="7" t="s">
        <v>224</v>
      </c>
      <c r="AC42" s="7" t="s">
        <v>96</v>
      </c>
      <c r="AD42" s="38" t="s">
        <v>736</v>
      </c>
      <c r="AE42" t="str">
        <f>IFERROR(VLOOKUP($B42,Sheet3!B:D,3,0),"")</f>
        <v>BENGALURU</v>
      </c>
      <c r="AF42" t="str">
        <f>IFERROR(VLOOKUP($B42,Sheet3!B:H,7,0),"")</f>
        <v>D. N.CHOWDHURY</v>
      </c>
      <c r="AG42">
        <f>-(L42)</f>
        <v>2457.6999999999998</v>
      </c>
      <c r="AH42">
        <v>0</v>
      </c>
    </row>
    <row r="43" spans="1:35" x14ac:dyDescent="0.25">
      <c r="A43" s="39">
        <v>46143</v>
      </c>
      <c r="B43" s="7" t="s">
        <v>101</v>
      </c>
      <c r="C43" s="7" t="s">
        <v>102</v>
      </c>
      <c r="D43" s="7" t="s">
        <v>221</v>
      </c>
      <c r="E43" s="7"/>
      <c r="F43" s="8">
        <v>46168</v>
      </c>
      <c r="G43" s="7">
        <v>1</v>
      </c>
      <c r="H43" s="7" t="s">
        <v>766</v>
      </c>
      <c r="I43" s="7" t="s">
        <v>767</v>
      </c>
      <c r="J43" s="7" t="s">
        <v>768</v>
      </c>
      <c r="K43" s="7">
        <v>33575</v>
      </c>
      <c r="L43" s="7">
        <v>-2457.6999999999998</v>
      </c>
      <c r="M43" s="7">
        <v>-2098.44</v>
      </c>
      <c r="N43" s="7">
        <v>27637</v>
      </c>
      <c r="O43" s="7">
        <v>5</v>
      </c>
      <c r="P43" s="7">
        <v>1381.86</v>
      </c>
      <c r="Q43" s="7">
        <v>29018.86</v>
      </c>
      <c r="R43" s="7" t="s">
        <v>106</v>
      </c>
      <c r="S43" s="7" t="s">
        <v>222</v>
      </c>
      <c r="T43" s="7" t="s">
        <v>96</v>
      </c>
      <c r="U43" s="7" t="s">
        <v>135</v>
      </c>
      <c r="V43" s="7" t="s">
        <v>769</v>
      </c>
      <c r="W43" s="7" t="s">
        <v>96</v>
      </c>
      <c r="X43" s="7" t="s">
        <v>765</v>
      </c>
      <c r="Y43" s="7" t="s">
        <v>99</v>
      </c>
      <c r="Z43" s="7" t="s">
        <v>96</v>
      </c>
      <c r="AA43" s="7" t="s">
        <v>223</v>
      </c>
      <c r="AB43" s="7" t="s">
        <v>224</v>
      </c>
      <c r="AC43" s="7" t="s">
        <v>96</v>
      </c>
      <c r="AD43" s="38" t="s">
        <v>736</v>
      </c>
      <c r="AE43" t="str">
        <f>IFERROR(VLOOKUP($B43,Sheet3!B:D,3,0),"")</f>
        <v>BENGALURU</v>
      </c>
      <c r="AF43" t="str">
        <f>IFERROR(VLOOKUP($B43,Sheet3!B:H,7,0),"")</f>
        <v>D. N.CHOWDHURY</v>
      </c>
      <c r="AG43">
        <f>-(L43)</f>
        <v>2457.6999999999998</v>
      </c>
      <c r="AH43">
        <v>0</v>
      </c>
    </row>
    <row r="44" spans="1:35" x14ac:dyDescent="0.25">
      <c r="A44" s="37">
        <v>46174</v>
      </c>
      <c r="B44" t="s">
        <v>101</v>
      </c>
      <c r="C44" t="s">
        <v>102</v>
      </c>
      <c r="D44" s="6" t="s">
        <v>225</v>
      </c>
      <c r="E44" s="6"/>
      <c r="F44" s="6">
        <v>46174</v>
      </c>
      <c r="G44">
        <v>1</v>
      </c>
      <c r="H44" t="s">
        <v>20</v>
      </c>
      <c r="I44" t="s">
        <v>92</v>
      </c>
      <c r="J44" t="s">
        <v>226</v>
      </c>
      <c r="K44">
        <v>38500</v>
      </c>
      <c r="L44">
        <v>-7700</v>
      </c>
      <c r="M44">
        <v>0</v>
      </c>
      <c r="N44">
        <v>26101.7</v>
      </c>
      <c r="O44">
        <v>18</v>
      </c>
      <c r="P44">
        <v>4698.3</v>
      </c>
      <c r="Q44">
        <v>30800</v>
      </c>
      <c r="R44" t="s">
        <v>94</v>
      </c>
      <c r="S44" t="s">
        <v>227</v>
      </c>
      <c r="T44" t="s">
        <v>116</v>
      </c>
      <c r="U44" t="s">
        <v>140</v>
      </c>
      <c r="V44" t="s">
        <v>96</v>
      </c>
      <c r="W44" t="s">
        <v>96</v>
      </c>
      <c r="X44" t="s">
        <v>98</v>
      </c>
      <c r="Y44" t="s">
        <v>99</v>
      </c>
      <c r="Z44" t="s">
        <v>96</v>
      </c>
      <c r="AA44" t="s">
        <v>96</v>
      </c>
      <c r="AB44" t="s">
        <v>228</v>
      </c>
      <c r="AC44" t="s">
        <v>96</v>
      </c>
      <c r="AD44" s="40" t="s">
        <v>825</v>
      </c>
      <c r="AE44" t="str">
        <f>IFERROR(VLOOKUP($B44,Sheet3!B:D,3,0),"")</f>
        <v>BENGALURU</v>
      </c>
      <c r="AF44" t="str">
        <f>IFERROR(VLOOKUP($B44,Sheet3!B:H,7,0),"")</f>
        <v>D. N.CHOWDHURY</v>
      </c>
      <c r="AG44">
        <f>-(L44)</f>
        <v>7700</v>
      </c>
      <c r="AH44">
        <f t="shared" si="0"/>
        <v>7700</v>
      </c>
      <c r="AI44">
        <f t="shared" ref="AI44:AI49" si="6">G44*500</f>
        <v>500</v>
      </c>
    </row>
    <row r="45" spans="1:35" x14ac:dyDescent="0.25">
      <c r="A45" s="37">
        <v>46174</v>
      </c>
      <c r="B45" s="7" t="s">
        <v>11</v>
      </c>
      <c r="C45" s="7" t="s">
        <v>229</v>
      </c>
      <c r="D45" s="7" t="s">
        <v>230</v>
      </c>
      <c r="E45" s="7"/>
      <c r="F45" s="8">
        <v>46178</v>
      </c>
      <c r="G45" s="7">
        <v>1</v>
      </c>
      <c r="H45" s="7" t="s">
        <v>62</v>
      </c>
      <c r="I45" s="7" t="s">
        <v>92</v>
      </c>
      <c r="J45" s="7" t="s">
        <v>231</v>
      </c>
      <c r="K45" s="7">
        <v>34500</v>
      </c>
      <c r="L45" s="7">
        <v>0</v>
      </c>
      <c r="M45" s="7">
        <v>0</v>
      </c>
      <c r="N45" s="7">
        <v>29237.279999999999</v>
      </c>
      <c r="O45" s="7">
        <v>18</v>
      </c>
      <c r="P45" s="7">
        <v>5262.72</v>
      </c>
      <c r="Q45" s="7">
        <v>34500</v>
      </c>
      <c r="R45" s="7" t="s">
        <v>94</v>
      </c>
      <c r="S45" s="7" t="s">
        <v>232</v>
      </c>
      <c r="T45" s="7" t="s">
        <v>96</v>
      </c>
      <c r="U45" s="7" t="s">
        <v>233</v>
      </c>
      <c r="V45" s="7" t="s">
        <v>96</v>
      </c>
      <c r="W45" s="7" t="s">
        <v>96</v>
      </c>
      <c r="X45" s="7" t="s">
        <v>98</v>
      </c>
      <c r="Y45" s="7" t="s">
        <v>99</v>
      </c>
      <c r="Z45" s="7" t="s">
        <v>96</v>
      </c>
      <c r="AA45" s="7" t="s">
        <v>96</v>
      </c>
      <c r="AB45" s="7" t="s">
        <v>96</v>
      </c>
      <c r="AC45" s="7" t="s">
        <v>96</v>
      </c>
      <c r="AD45" s="40" t="s">
        <v>825</v>
      </c>
      <c r="AE45" t="str">
        <f>IFERROR(VLOOKUP($B45,Sheet3!B:D,3,0),"")</f>
        <v>DEHRADUN</v>
      </c>
      <c r="AF45" t="str">
        <f>IFERROR(VLOOKUP($B45,Sheet3!B:H,7,0),"")</f>
        <v>AMANDEEP SINGH GILL</v>
      </c>
      <c r="AG45">
        <f>-(L45)</f>
        <v>0</v>
      </c>
      <c r="AH45">
        <f t="shared" si="0"/>
        <v>0</v>
      </c>
      <c r="AI45">
        <f t="shared" si="6"/>
        <v>500</v>
      </c>
    </row>
    <row r="46" spans="1:35" x14ac:dyDescent="0.25">
      <c r="A46" s="37">
        <v>46174</v>
      </c>
      <c r="B46" s="7" t="s">
        <v>11</v>
      </c>
      <c r="C46" s="7" t="s">
        <v>229</v>
      </c>
      <c r="D46" s="7" t="s">
        <v>234</v>
      </c>
      <c r="E46" s="7"/>
      <c r="F46" s="8">
        <v>46178</v>
      </c>
      <c r="G46" s="7">
        <v>1</v>
      </c>
      <c r="H46" s="7" t="s">
        <v>63</v>
      </c>
      <c r="I46" s="7" t="s">
        <v>92</v>
      </c>
      <c r="J46" s="7" t="s">
        <v>235</v>
      </c>
      <c r="K46" s="7">
        <v>39000</v>
      </c>
      <c r="L46" s="7">
        <v>0</v>
      </c>
      <c r="M46" s="7">
        <v>0</v>
      </c>
      <c r="N46" s="7">
        <v>33050.839999999997</v>
      </c>
      <c r="O46" s="7">
        <v>18</v>
      </c>
      <c r="P46" s="7">
        <v>5949.16</v>
      </c>
      <c r="Q46" s="7">
        <v>39000</v>
      </c>
      <c r="R46" s="7" t="s">
        <v>94</v>
      </c>
      <c r="S46" s="7" t="s">
        <v>236</v>
      </c>
      <c r="T46" s="7" t="s">
        <v>96</v>
      </c>
      <c r="U46" s="7" t="s">
        <v>233</v>
      </c>
      <c r="V46" s="7" t="s">
        <v>96</v>
      </c>
      <c r="W46" s="7" t="s">
        <v>96</v>
      </c>
      <c r="X46" s="7" t="s">
        <v>98</v>
      </c>
      <c r="Y46" s="7" t="s">
        <v>99</v>
      </c>
      <c r="Z46" s="7" t="s">
        <v>96</v>
      </c>
      <c r="AA46" s="7" t="s">
        <v>96</v>
      </c>
      <c r="AB46" s="7" t="s">
        <v>96</v>
      </c>
      <c r="AC46" s="7" t="s">
        <v>96</v>
      </c>
      <c r="AD46" s="40" t="s">
        <v>825</v>
      </c>
      <c r="AE46" t="str">
        <f>IFERROR(VLOOKUP($B46,Sheet3!B:D,3,0),"")</f>
        <v>DEHRADUN</v>
      </c>
      <c r="AF46" t="str">
        <f>IFERROR(VLOOKUP($B46,Sheet3!B:H,7,0),"")</f>
        <v>AMANDEEP SINGH GILL</v>
      </c>
      <c r="AG46">
        <f>-(L46)</f>
        <v>0</v>
      </c>
      <c r="AH46">
        <f t="shared" si="0"/>
        <v>0</v>
      </c>
      <c r="AI46">
        <f t="shared" si="6"/>
        <v>500</v>
      </c>
    </row>
    <row r="47" spans="1:35" x14ac:dyDescent="0.25">
      <c r="A47" s="37">
        <v>46174</v>
      </c>
      <c r="B47" s="7" t="s">
        <v>101</v>
      </c>
      <c r="C47" s="7" t="s">
        <v>102</v>
      </c>
      <c r="D47" s="7" t="s">
        <v>237</v>
      </c>
      <c r="E47" s="7"/>
      <c r="F47" s="8">
        <v>46179</v>
      </c>
      <c r="G47" s="7">
        <v>1</v>
      </c>
      <c r="H47" s="7" t="s">
        <v>60</v>
      </c>
      <c r="I47" s="7" t="s">
        <v>92</v>
      </c>
      <c r="J47" s="7" t="s">
        <v>238</v>
      </c>
      <c r="K47" s="7">
        <v>32500</v>
      </c>
      <c r="L47" s="7">
        <v>-6500</v>
      </c>
      <c r="M47" s="7">
        <v>0</v>
      </c>
      <c r="N47" s="7">
        <v>22033.9</v>
      </c>
      <c r="O47" s="7">
        <v>18</v>
      </c>
      <c r="P47" s="7">
        <v>3966.1</v>
      </c>
      <c r="Q47" s="7">
        <v>26000</v>
      </c>
      <c r="R47" s="7" t="s">
        <v>94</v>
      </c>
      <c r="S47" s="7" t="s">
        <v>239</v>
      </c>
      <c r="T47" s="7" t="s">
        <v>116</v>
      </c>
      <c r="U47" s="7" t="s">
        <v>140</v>
      </c>
      <c r="V47" s="7" t="s">
        <v>96</v>
      </c>
      <c r="W47" s="7" t="s">
        <v>96</v>
      </c>
      <c r="X47" s="7" t="s">
        <v>98</v>
      </c>
      <c r="Y47" s="7" t="s">
        <v>99</v>
      </c>
      <c r="Z47" s="7" t="s">
        <v>96</v>
      </c>
      <c r="AA47" s="7" t="s">
        <v>96</v>
      </c>
      <c r="AB47" s="7" t="s">
        <v>96</v>
      </c>
      <c r="AC47" s="7" t="s">
        <v>96</v>
      </c>
      <c r="AD47" s="40" t="s">
        <v>825</v>
      </c>
      <c r="AE47" t="str">
        <f>IFERROR(VLOOKUP($B47,Sheet3!B:D,3,0),"")</f>
        <v>BENGALURU</v>
      </c>
      <c r="AF47" t="str">
        <f>IFERROR(VLOOKUP($B47,Sheet3!B:H,7,0),"")</f>
        <v>D. N.CHOWDHURY</v>
      </c>
      <c r="AG47">
        <f>-(L47)</f>
        <v>6500</v>
      </c>
      <c r="AH47">
        <f t="shared" si="0"/>
        <v>6500</v>
      </c>
      <c r="AI47">
        <f t="shared" si="6"/>
        <v>500</v>
      </c>
    </row>
    <row r="48" spans="1:35" x14ac:dyDescent="0.25">
      <c r="A48" s="37">
        <v>46174</v>
      </c>
      <c r="B48" s="7" t="s">
        <v>89</v>
      </c>
      <c r="C48" s="7" t="s">
        <v>90</v>
      </c>
      <c r="D48" s="7" t="s">
        <v>240</v>
      </c>
      <c r="E48" s="7"/>
      <c r="F48" s="8">
        <v>46180</v>
      </c>
      <c r="G48" s="7">
        <v>1</v>
      </c>
      <c r="H48" s="7" t="s">
        <v>58</v>
      </c>
      <c r="I48" s="7" t="s">
        <v>92</v>
      </c>
      <c r="J48" s="7" t="s">
        <v>241</v>
      </c>
      <c r="K48" s="7">
        <v>32500</v>
      </c>
      <c r="L48" s="7">
        <v>0</v>
      </c>
      <c r="M48" s="7">
        <v>0</v>
      </c>
      <c r="N48" s="7">
        <v>27542.38</v>
      </c>
      <c r="O48" s="7">
        <v>18</v>
      </c>
      <c r="P48" s="7">
        <v>4957.62</v>
      </c>
      <c r="Q48" s="7">
        <v>32500</v>
      </c>
      <c r="R48" s="7" t="s">
        <v>94</v>
      </c>
      <c r="S48" s="7" t="s">
        <v>242</v>
      </c>
      <c r="T48" s="7" t="s">
        <v>96</v>
      </c>
      <c r="U48" s="7" t="s">
        <v>243</v>
      </c>
      <c r="V48" s="7" t="s">
        <v>96</v>
      </c>
      <c r="W48" s="7" t="s">
        <v>96</v>
      </c>
      <c r="X48" s="7" t="s">
        <v>98</v>
      </c>
      <c r="Y48" s="7" t="s">
        <v>99</v>
      </c>
      <c r="Z48" s="7" t="s">
        <v>96</v>
      </c>
      <c r="AA48" s="7" t="s">
        <v>96</v>
      </c>
      <c r="AB48" s="7" t="s">
        <v>96</v>
      </c>
      <c r="AC48" s="7" t="s">
        <v>96</v>
      </c>
      <c r="AD48" s="40" t="s">
        <v>825</v>
      </c>
      <c r="AE48" t="str">
        <f>IFERROR(VLOOKUP($B48,Sheet3!B:D,3,0),"")</f>
        <v xml:space="preserve">PUNE </v>
      </c>
      <c r="AF48" t="str">
        <f>IFERROR(VLOOKUP($B48,Sheet3!B:H,7,0),"")</f>
        <v>DIGVIJAY SINGH</v>
      </c>
      <c r="AG48">
        <f>-(L48)</f>
        <v>0</v>
      </c>
      <c r="AH48">
        <f t="shared" si="0"/>
        <v>0</v>
      </c>
      <c r="AI48">
        <f t="shared" si="6"/>
        <v>500</v>
      </c>
    </row>
    <row r="49" spans="1:35" x14ac:dyDescent="0.25">
      <c r="A49" s="37">
        <v>46174</v>
      </c>
      <c r="B49" s="7" t="s">
        <v>147</v>
      </c>
      <c r="C49" s="7" t="s">
        <v>244</v>
      </c>
      <c r="D49" s="7" t="s">
        <v>245</v>
      </c>
      <c r="E49" s="7"/>
      <c r="F49" s="8">
        <v>46182</v>
      </c>
      <c r="G49" s="7">
        <v>1</v>
      </c>
      <c r="H49" s="7" t="s">
        <v>35</v>
      </c>
      <c r="I49" s="7" t="s">
        <v>104</v>
      </c>
      <c r="J49" s="7" t="s">
        <v>216</v>
      </c>
      <c r="K49" s="7">
        <v>32500</v>
      </c>
      <c r="L49" s="7">
        <v>-792.68</v>
      </c>
      <c r="M49" s="7">
        <v>0</v>
      </c>
      <c r="N49" s="7">
        <v>30197.439999999999</v>
      </c>
      <c r="O49" s="7">
        <v>5</v>
      </c>
      <c r="P49" s="7">
        <v>1509.88</v>
      </c>
      <c r="Q49" s="7">
        <v>31707.32</v>
      </c>
      <c r="R49" s="7" t="s">
        <v>106</v>
      </c>
      <c r="S49" s="7" t="s">
        <v>246</v>
      </c>
      <c r="T49" s="7" t="s">
        <v>96</v>
      </c>
      <c r="U49" s="7" t="s">
        <v>247</v>
      </c>
      <c r="V49" s="7" t="s">
        <v>96</v>
      </c>
      <c r="W49" s="7" t="s">
        <v>96</v>
      </c>
      <c r="X49" s="7" t="s">
        <v>109</v>
      </c>
      <c r="Y49" s="7" t="s">
        <v>99</v>
      </c>
      <c r="Z49" s="7" t="s">
        <v>96</v>
      </c>
      <c r="AA49" s="7" t="s">
        <v>248</v>
      </c>
      <c r="AB49" s="7" t="s">
        <v>249</v>
      </c>
      <c r="AC49" s="7" t="s">
        <v>96</v>
      </c>
      <c r="AD49" s="40" t="s">
        <v>813</v>
      </c>
      <c r="AE49" t="str">
        <f>IFERROR(VLOOKUP($B49,Sheet3!B:D,3,0),"")</f>
        <v xml:space="preserve">KOLKATA  </v>
      </c>
      <c r="AF49" t="str">
        <f>IFERROR(VLOOKUP($B49,Sheet3!B:H,7,0),"")</f>
        <v xml:space="preserve">JOYDEEP DATTA </v>
      </c>
      <c r="AG49">
        <f>-(L49)</f>
        <v>792.68</v>
      </c>
      <c r="AH49">
        <f t="shared" si="0"/>
        <v>792.68</v>
      </c>
      <c r="AI49">
        <f t="shared" si="6"/>
        <v>500</v>
      </c>
    </row>
    <row r="50" spans="1:35" x14ac:dyDescent="0.25">
      <c r="A50" s="37">
        <v>46174</v>
      </c>
      <c r="B50" s="7" t="s">
        <v>147</v>
      </c>
      <c r="C50" s="7" t="s">
        <v>244</v>
      </c>
      <c r="D50" s="7" t="s">
        <v>245</v>
      </c>
      <c r="E50" s="7"/>
      <c r="F50" s="8">
        <v>46182</v>
      </c>
      <c r="G50" s="7">
        <v>1</v>
      </c>
      <c r="H50" s="7" t="s">
        <v>804</v>
      </c>
      <c r="I50" s="7" t="s">
        <v>805</v>
      </c>
      <c r="J50" s="7" t="s">
        <v>806</v>
      </c>
      <c r="K50" s="7">
        <v>18600</v>
      </c>
      <c r="L50" s="7">
        <v>-453.66</v>
      </c>
      <c r="M50" s="7">
        <v>0</v>
      </c>
      <c r="N50" s="7">
        <v>17282.22</v>
      </c>
      <c r="O50" s="7">
        <v>5</v>
      </c>
      <c r="P50" s="7">
        <v>864.12</v>
      </c>
      <c r="Q50" s="7">
        <v>18146.34</v>
      </c>
      <c r="R50" s="7" t="s">
        <v>106</v>
      </c>
      <c r="S50" s="7" t="s">
        <v>246</v>
      </c>
      <c r="T50" s="7" t="s">
        <v>96</v>
      </c>
      <c r="U50" s="7" t="s">
        <v>247</v>
      </c>
      <c r="V50" s="7" t="s">
        <v>807</v>
      </c>
      <c r="W50" s="7" t="s">
        <v>96</v>
      </c>
      <c r="X50" s="7" t="s">
        <v>808</v>
      </c>
      <c r="Y50" s="7" t="s">
        <v>99</v>
      </c>
      <c r="Z50" s="7" t="s">
        <v>96</v>
      </c>
      <c r="AA50" s="7" t="s">
        <v>248</v>
      </c>
      <c r="AB50" s="7" t="s">
        <v>249</v>
      </c>
      <c r="AC50" s="7" t="s">
        <v>96</v>
      </c>
      <c r="AD50" s="38" t="s">
        <v>736</v>
      </c>
      <c r="AE50" t="str">
        <f>IFERROR(VLOOKUP($B50,Sheet3!B:D,3,0),"")</f>
        <v xml:space="preserve">KOLKATA  </v>
      </c>
      <c r="AF50" t="str">
        <f>IFERROR(VLOOKUP($B50,Sheet3!B:H,7,0),"")</f>
        <v xml:space="preserve">JOYDEEP DATTA </v>
      </c>
      <c r="AG50">
        <f>-(L50)</f>
        <v>453.66</v>
      </c>
      <c r="AH50">
        <v>0</v>
      </c>
    </row>
    <row r="51" spans="1:35" x14ac:dyDescent="0.25">
      <c r="A51" s="37">
        <v>46174</v>
      </c>
      <c r="B51" s="7" t="s">
        <v>147</v>
      </c>
      <c r="C51" s="7" t="s">
        <v>244</v>
      </c>
      <c r="D51" s="7" t="s">
        <v>245</v>
      </c>
      <c r="E51" s="7"/>
      <c r="F51" s="8">
        <v>46182</v>
      </c>
      <c r="G51" s="7">
        <v>1</v>
      </c>
      <c r="H51" s="7" t="s">
        <v>804</v>
      </c>
      <c r="I51" s="7" t="s">
        <v>805</v>
      </c>
      <c r="J51" s="7" t="s">
        <v>806</v>
      </c>
      <c r="K51" s="7">
        <v>18600</v>
      </c>
      <c r="L51" s="7">
        <v>-453.66</v>
      </c>
      <c r="M51" s="7">
        <v>0</v>
      </c>
      <c r="N51" s="7">
        <v>17282.22</v>
      </c>
      <c r="O51" s="7">
        <v>5</v>
      </c>
      <c r="P51" s="7">
        <v>864.12</v>
      </c>
      <c r="Q51" s="7">
        <v>18146.34</v>
      </c>
      <c r="R51" s="7" t="s">
        <v>106</v>
      </c>
      <c r="S51" s="7" t="s">
        <v>246</v>
      </c>
      <c r="T51" s="7" t="s">
        <v>96</v>
      </c>
      <c r="U51" s="7" t="s">
        <v>247</v>
      </c>
      <c r="V51" s="7" t="s">
        <v>807</v>
      </c>
      <c r="W51" s="7" t="s">
        <v>96</v>
      </c>
      <c r="X51" s="7" t="s">
        <v>808</v>
      </c>
      <c r="Y51" s="7" t="s">
        <v>99</v>
      </c>
      <c r="Z51" s="7" t="s">
        <v>96</v>
      </c>
      <c r="AA51" s="7" t="s">
        <v>248</v>
      </c>
      <c r="AB51" s="7" t="s">
        <v>249</v>
      </c>
      <c r="AC51" s="7" t="s">
        <v>96</v>
      </c>
      <c r="AD51" s="38" t="s">
        <v>736</v>
      </c>
      <c r="AE51" t="str">
        <f>IFERROR(VLOOKUP($B51,Sheet3!B:D,3,0),"")</f>
        <v xml:space="preserve">KOLKATA  </v>
      </c>
      <c r="AF51" t="str">
        <f>IFERROR(VLOOKUP($B51,Sheet3!B:H,7,0),"")</f>
        <v xml:space="preserve">JOYDEEP DATTA </v>
      </c>
      <c r="AG51">
        <f>-(L51)</f>
        <v>453.66</v>
      </c>
      <c r="AH51">
        <v>0</v>
      </c>
    </row>
    <row r="52" spans="1:35" x14ac:dyDescent="0.25">
      <c r="A52" s="37">
        <v>46174</v>
      </c>
      <c r="B52" s="7" t="s">
        <v>147</v>
      </c>
      <c r="C52" s="7" t="s">
        <v>244</v>
      </c>
      <c r="D52" s="7" t="s">
        <v>250</v>
      </c>
      <c r="E52" s="7"/>
      <c r="F52" s="8">
        <v>46182</v>
      </c>
      <c r="G52" s="7">
        <v>1</v>
      </c>
      <c r="H52" s="7" t="s">
        <v>53</v>
      </c>
      <c r="I52" s="7" t="s">
        <v>104</v>
      </c>
      <c r="J52" s="7" t="s">
        <v>251</v>
      </c>
      <c r="K52" s="7">
        <v>44500</v>
      </c>
      <c r="L52" s="7">
        <v>-8900</v>
      </c>
      <c r="M52" s="7">
        <v>0</v>
      </c>
      <c r="N52" s="7">
        <v>33904.76</v>
      </c>
      <c r="O52" s="7">
        <v>5</v>
      </c>
      <c r="P52" s="7">
        <v>1695.24</v>
      </c>
      <c r="Q52" s="7">
        <v>35600</v>
      </c>
      <c r="R52" s="7" t="s">
        <v>114</v>
      </c>
      <c r="S52" s="7" t="s">
        <v>252</v>
      </c>
      <c r="T52" s="7" t="s">
        <v>116</v>
      </c>
      <c r="U52" s="7" t="s">
        <v>247</v>
      </c>
      <c r="V52" s="7" t="s">
        <v>96</v>
      </c>
      <c r="W52" s="7" t="s">
        <v>96</v>
      </c>
      <c r="X52" s="7" t="s">
        <v>109</v>
      </c>
      <c r="Y52" s="7" t="s">
        <v>99</v>
      </c>
      <c r="Z52" s="7" t="s">
        <v>96</v>
      </c>
      <c r="AA52" s="7" t="s">
        <v>96</v>
      </c>
      <c r="AB52" s="7" t="s">
        <v>253</v>
      </c>
      <c r="AC52" s="7" t="s">
        <v>96</v>
      </c>
      <c r="AD52" s="40" t="s">
        <v>813</v>
      </c>
      <c r="AE52" t="str">
        <f>IFERROR(VLOOKUP($B52,Sheet3!B:D,3,0),"")</f>
        <v xml:space="preserve">KOLKATA  </v>
      </c>
      <c r="AF52" t="str">
        <f>IFERROR(VLOOKUP($B52,Sheet3!B:H,7,0),"")</f>
        <v xml:space="preserve">JOYDEEP DATTA </v>
      </c>
      <c r="AG52">
        <f>-(L52)</f>
        <v>8900</v>
      </c>
      <c r="AH52">
        <f t="shared" si="0"/>
        <v>8900</v>
      </c>
      <c r="AI52">
        <f t="shared" ref="AI52:AI53" si="7">G52*500</f>
        <v>500</v>
      </c>
    </row>
    <row r="53" spans="1:35" x14ac:dyDescent="0.25">
      <c r="A53" s="37">
        <v>46174</v>
      </c>
      <c r="B53" s="7" t="s">
        <v>101</v>
      </c>
      <c r="C53" s="7" t="s">
        <v>102</v>
      </c>
      <c r="D53" s="7" t="s">
        <v>254</v>
      </c>
      <c r="E53" s="7"/>
      <c r="F53" s="8">
        <v>46183</v>
      </c>
      <c r="G53" s="7">
        <v>1</v>
      </c>
      <c r="H53" s="7" t="s">
        <v>26</v>
      </c>
      <c r="I53" s="7" t="s">
        <v>104</v>
      </c>
      <c r="J53" s="7" t="s">
        <v>255</v>
      </c>
      <c r="K53" s="7">
        <v>29400</v>
      </c>
      <c r="L53" s="7">
        <v>-3019.08</v>
      </c>
      <c r="M53" s="7">
        <v>0</v>
      </c>
      <c r="N53" s="7">
        <v>25124.68</v>
      </c>
      <c r="O53" s="7">
        <v>5</v>
      </c>
      <c r="P53" s="7">
        <v>1256.24</v>
      </c>
      <c r="Q53" s="7">
        <v>26380.92</v>
      </c>
      <c r="R53" s="7" t="s">
        <v>106</v>
      </c>
      <c r="S53" s="7" t="s">
        <v>256</v>
      </c>
      <c r="T53" s="7" t="s">
        <v>96</v>
      </c>
      <c r="U53" s="7" t="s">
        <v>257</v>
      </c>
      <c r="V53" s="7" t="s">
        <v>96</v>
      </c>
      <c r="W53" s="7" t="s">
        <v>96</v>
      </c>
      <c r="X53" s="7" t="s">
        <v>109</v>
      </c>
      <c r="Y53" s="7" t="s">
        <v>99</v>
      </c>
      <c r="Z53" s="7" t="s">
        <v>96</v>
      </c>
      <c r="AA53" s="7" t="s">
        <v>258</v>
      </c>
      <c r="AB53" s="7" t="s">
        <v>259</v>
      </c>
      <c r="AC53" s="7" t="s">
        <v>96</v>
      </c>
      <c r="AD53" s="40" t="s">
        <v>813</v>
      </c>
      <c r="AE53" t="str">
        <f>IFERROR(VLOOKUP($B53,Sheet3!B:D,3,0),"")</f>
        <v>BENGALURU</v>
      </c>
      <c r="AF53" t="str">
        <f>IFERROR(VLOOKUP($B53,Sheet3!B:H,7,0),"")</f>
        <v>D. N.CHOWDHURY</v>
      </c>
      <c r="AG53">
        <f>-(L53)</f>
        <v>3019.08</v>
      </c>
      <c r="AH53">
        <f t="shared" si="0"/>
        <v>3019.08</v>
      </c>
      <c r="AI53">
        <f t="shared" si="7"/>
        <v>500</v>
      </c>
    </row>
    <row r="54" spans="1:35" x14ac:dyDescent="0.25">
      <c r="A54" s="37">
        <v>46174</v>
      </c>
      <c r="B54" s="7" t="s">
        <v>101</v>
      </c>
      <c r="C54" s="7" t="s">
        <v>102</v>
      </c>
      <c r="D54" s="7" t="s">
        <v>254</v>
      </c>
      <c r="E54" s="7"/>
      <c r="F54" s="8">
        <v>46183</v>
      </c>
      <c r="G54" s="7">
        <v>1</v>
      </c>
      <c r="H54" s="7" t="s">
        <v>753</v>
      </c>
      <c r="I54" s="7" t="s">
        <v>754</v>
      </c>
      <c r="J54" s="7" t="s">
        <v>755</v>
      </c>
      <c r="K54" s="7">
        <v>5750</v>
      </c>
      <c r="L54" s="7">
        <v>-590.46</v>
      </c>
      <c r="M54" s="7">
        <v>0</v>
      </c>
      <c r="N54" s="7">
        <v>4913.84</v>
      </c>
      <c r="O54" s="7">
        <v>5</v>
      </c>
      <c r="P54" s="7">
        <v>245.7</v>
      </c>
      <c r="Q54" s="7">
        <v>5159.54</v>
      </c>
      <c r="R54" s="7" t="s">
        <v>106</v>
      </c>
      <c r="S54" s="7" t="s">
        <v>256</v>
      </c>
      <c r="T54" s="7" t="s">
        <v>96</v>
      </c>
      <c r="U54" s="7" t="s">
        <v>257</v>
      </c>
      <c r="V54" s="7" t="s">
        <v>756</v>
      </c>
      <c r="W54" s="7" t="s">
        <v>96</v>
      </c>
      <c r="X54" s="7" t="s">
        <v>757</v>
      </c>
      <c r="Y54" s="7" t="s">
        <v>99</v>
      </c>
      <c r="Z54" s="7" t="s">
        <v>96</v>
      </c>
      <c r="AA54" s="7" t="s">
        <v>258</v>
      </c>
      <c r="AB54" s="7" t="s">
        <v>259</v>
      </c>
      <c r="AC54" s="7" t="s">
        <v>96</v>
      </c>
      <c r="AD54" s="38" t="s">
        <v>736</v>
      </c>
      <c r="AE54" t="str">
        <f>IFERROR(VLOOKUP($B54,Sheet3!B:D,3,0),"")</f>
        <v>BENGALURU</v>
      </c>
      <c r="AF54" t="str">
        <f>IFERROR(VLOOKUP($B54,Sheet3!B:H,7,0),"")</f>
        <v>D. N.CHOWDHURY</v>
      </c>
      <c r="AG54">
        <f>-(L54)</f>
        <v>590.46</v>
      </c>
      <c r="AH54">
        <v>0</v>
      </c>
    </row>
    <row r="55" spans="1:35" x14ac:dyDescent="0.25">
      <c r="A55" s="37">
        <v>46174</v>
      </c>
      <c r="B55" s="7" t="s">
        <v>101</v>
      </c>
      <c r="C55" s="7" t="s">
        <v>102</v>
      </c>
      <c r="D55" s="7" t="s">
        <v>254</v>
      </c>
      <c r="E55" s="7"/>
      <c r="F55" s="8">
        <v>46183</v>
      </c>
      <c r="G55" s="7">
        <v>1</v>
      </c>
      <c r="H55" s="7" t="s">
        <v>753</v>
      </c>
      <c r="I55" s="7" t="s">
        <v>754</v>
      </c>
      <c r="J55" s="7" t="s">
        <v>755</v>
      </c>
      <c r="K55" s="7">
        <v>5750</v>
      </c>
      <c r="L55" s="7">
        <v>-590.46</v>
      </c>
      <c r="M55" s="7">
        <v>0</v>
      </c>
      <c r="N55" s="7">
        <v>4913.84</v>
      </c>
      <c r="O55" s="7">
        <v>5</v>
      </c>
      <c r="P55" s="7">
        <v>245.7</v>
      </c>
      <c r="Q55" s="7">
        <v>5159.54</v>
      </c>
      <c r="R55" s="7" t="s">
        <v>106</v>
      </c>
      <c r="S55" s="7" t="s">
        <v>256</v>
      </c>
      <c r="T55" s="7" t="s">
        <v>96</v>
      </c>
      <c r="U55" s="7" t="s">
        <v>257</v>
      </c>
      <c r="V55" s="7" t="s">
        <v>756</v>
      </c>
      <c r="W55" s="7" t="s">
        <v>96</v>
      </c>
      <c r="X55" s="7" t="s">
        <v>757</v>
      </c>
      <c r="Y55" s="7" t="s">
        <v>99</v>
      </c>
      <c r="Z55" s="7" t="s">
        <v>96</v>
      </c>
      <c r="AA55" s="7" t="s">
        <v>258</v>
      </c>
      <c r="AB55" s="7" t="s">
        <v>259</v>
      </c>
      <c r="AC55" s="7" t="s">
        <v>96</v>
      </c>
      <c r="AD55" s="38" t="s">
        <v>736</v>
      </c>
      <c r="AE55" t="str">
        <f>IFERROR(VLOOKUP($B55,Sheet3!B:D,3,0),"")</f>
        <v>BENGALURU</v>
      </c>
      <c r="AF55" t="str">
        <f>IFERROR(VLOOKUP($B55,Sheet3!B:H,7,0),"")</f>
        <v>D. N.CHOWDHURY</v>
      </c>
      <c r="AG55">
        <f>-(L55)</f>
        <v>590.46</v>
      </c>
      <c r="AH55">
        <v>0</v>
      </c>
    </row>
    <row r="56" spans="1:35" x14ac:dyDescent="0.25">
      <c r="A56" s="37">
        <v>46174</v>
      </c>
      <c r="B56" s="7" t="s">
        <v>148</v>
      </c>
      <c r="C56" s="7" t="s">
        <v>186</v>
      </c>
      <c r="D56" s="7" t="s">
        <v>260</v>
      </c>
      <c r="E56" s="7" t="s">
        <v>96</v>
      </c>
      <c r="F56" s="8">
        <v>46185</v>
      </c>
      <c r="G56" s="7">
        <v>1</v>
      </c>
      <c r="H56" s="7" t="s">
        <v>53</v>
      </c>
      <c r="I56" s="7" t="s">
        <v>104</v>
      </c>
      <c r="J56" s="7" t="s">
        <v>251</v>
      </c>
      <c r="K56" s="7">
        <v>44500</v>
      </c>
      <c r="L56" s="7">
        <v>-1875</v>
      </c>
      <c r="M56" s="7">
        <v>0</v>
      </c>
      <c r="N56" s="7">
        <v>40595.24</v>
      </c>
      <c r="O56" s="7">
        <v>5</v>
      </c>
      <c r="P56" s="7">
        <v>2029.76</v>
      </c>
      <c r="Q56" s="7">
        <v>42625</v>
      </c>
      <c r="R56" s="7" t="s">
        <v>106</v>
      </c>
      <c r="S56" s="7" t="s">
        <v>261</v>
      </c>
      <c r="T56" s="7" t="s">
        <v>262</v>
      </c>
      <c r="U56" s="7" t="s">
        <v>263</v>
      </c>
      <c r="V56" s="7" t="s">
        <v>96</v>
      </c>
      <c r="W56" s="7" t="s">
        <v>96</v>
      </c>
      <c r="X56" s="7" t="s">
        <v>109</v>
      </c>
      <c r="Y56" s="7" t="s">
        <v>99</v>
      </c>
      <c r="Z56" s="7" t="s">
        <v>96</v>
      </c>
      <c r="AA56" s="7" t="s">
        <v>264</v>
      </c>
      <c r="AB56" s="7" t="s">
        <v>265</v>
      </c>
      <c r="AC56" s="7" t="s">
        <v>96</v>
      </c>
      <c r="AD56" s="40" t="s">
        <v>813</v>
      </c>
      <c r="AE56" t="str">
        <f>IFERROR(VLOOKUP($B56,Sheet3!B:D,3,0),"")</f>
        <v>AHMEDABAD</v>
      </c>
      <c r="AF56" t="str">
        <f>IFERROR(VLOOKUP($B56,Sheet3!B:H,7,0),"")</f>
        <v>DIGVIJAY SINGH</v>
      </c>
      <c r="AG56">
        <f>-(L56)</f>
        <v>1875</v>
      </c>
      <c r="AH56">
        <f t="shared" si="0"/>
        <v>1875</v>
      </c>
      <c r="AI56">
        <f>G56*500</f>
        <v>500</v>
      </c>
    </row>
    <row r="57" spans="1:35" x14ac:dyDescent="0.25">
      <c r="A57" s="37">
        <v>46174</v>
      </c>
      <c r="B57" s="7" t="s">
        <v>148</v>
      </c>
      <c r="C57" s="7" t="s">
        <v>186</v>
      </c>
      <c r="D57" s="7" t="s">
        <v>260</v>
      </c>
      <c r="E57" s="7" t="s">
        <v>96</v>
      </c>
      <c r="F57" s="8">
        <v>46185</v>
      </c>
      <c r="G57" s="7">
        <v>1</v>
      </c>
      <c r="H57" s="7" t="s">
        <v>799</v>
      </c>
      <c r="I57" s="7" t="s">
        <v>754</v>
      </c>
      <c r="J57" s="7" t="s">
        <v>800</v>
      </c>
      <c r="K57" s="7">
        <v>3250</v>
      </c>
      <c r="L57" s="7">
        <v>0</v>
      </c>
      <c r="M57" s="7">
        <v>0</v>
      </c>
      <c r="N57" s="7">
        <v>3095.24</v>
      </c>
      <c r="O57" s="7">
        <v>5</v>
      </c>
      <c r="P57" s="7">
        <v>154.76</v>
      </c>
      <c r="Q57" s="7">
        <v>3250</v>
      </c>
      <c r="R57" s="7" t="s">
        <v>106</v>
      </c>
      <c r="S57" s="7" t="s">
        <v>261</v>
      </c>
      <c r="T57" s="7" t="s">
        <v>262</v>
      </c>
      <c r="U57" s="7" t="s">
        <v>263</v>
      </c>
      <c r="V57" s="7" t="s">
        <v>756</v>
      </c>
      <c r="W57" s="7" t="s">
        <v>96</v>
      </c>
      <c r="X57" s="7" t="s">
        <v>757</v>
      </c>
      <c r="Y57" s="7" t="s">
        <v>99</v>
      </c>
      <c r="Z57" s="7" t="s">
        <v>96</v>
      </c>
      <c r="AA57" s="7" t="s">
        <v>264</v>
      </c>
      <c r="AB57" s="7" t="s">
        <v>265</v>
      </c>
      <c r="AC57" s="7" t="s">
        <v>96</v>
      </c>
      <c r="AD57" s="38" t="s">
        <v>736</v>
      </c>
      <c r="AE57" t="str">
        <f>IFERROR(VLOOKUP($B57,Sheet3!B:D,3,0),"")</f>
        <v>AHMEDABAD</v>
      </c>
      <c r="AF57" t="str">
        <f>IFERROR(VLOOKUP($B57,Sheet3!B:H,7,0),"")</f>
        <v>DIGVIJAY SINGH</v>
      </c>
      <c r="AG57">
        <f>-(L57)</f>
        <v>0</v>
      </c>
      <c r="AH57">
        <v>0</v>
      </c>
    </row>
    <row r="58" spans="1:35" x14ac:dyDescent="0.25">
      <c r="A58" s="37">
        <v>46174</v>
      </c>
      <c r="B58" s="7" t="s">
        <v>148</v>
      </c>
      <c r="C58" s="7" t="s">
        <v>186</v>
      </c>
      <c r="D58" s="7" t="s">
        <v>260</v>
      </c>
      <c r="E58" s="7" t="s">
        <v>96</v>
      </c>
      <c r="F58" s="8">
        <v>46185</v>
      </c>
      <c r="G58" s="7">
        <v>1</v>
      </c>
      <c r="H58" s="7" t="s">
        <v>799</v>
      </c>
      <c r="I58" s="7" t="s">
        <v>754</v>
      </c>
      <c r="J58" s="7" t="s">
        <v>800</v>
      </c>
      <c r="K58" s="7">
        <v>3250</v>
      </c>
      <c r="L58" s="7">
        <v>0</v>
      </c>
      <c r="M58" s="7">
        <v>0</v>
      </c>
      <c r="N58" s="7">
        <v>3095.24</v>
      </c>
      <c r="O58" s="7">
        <v>5</v>
      </c>
      <c r="P58" s="7">
        <v>154.76</v>
      </c>
      <c r="Q58" s="7">
        <v>3250</v>
      </c>
      <c r="R58" s="7" t="s">
        <v>106</v>
      </c>
      <c r="S58" s="7" t="s">
        <v>261</v>
      </c>
      <c r="T58" s="7" t="s">
        <v>96</v>
      </c>
      <c r="U58" s="7" t="s">
        <v>263</v>
      </c>
      <c r="V58" s="7" t="s">
        <v>756</v>
      </c>
      <c r="W58" s="7" t="s">
        <v>96</v>
      </c>
      <c r="X58" s="7" t="s">
        <v>757</v>
      </c>
      <c r="Y58" s="7" t="s">
        <v>99</v>
      </c>
      <c r="Z58" s="7" t="s">
        <v>96</v>
      </c>
      <c r="AA58" s="7" t="s">
        <v>264</v>
      </c>
      <c r="AB58" s="7" t="s">
        <v>265</v>
      </c>
      <c r="AC58" s="7" t="s">
        <v>96</v>
      </c>
      <c r="AD58" s="38" t="s">
        <v>736</v>
      </c>
      <c r="AE58" t="str">
        <f>IFERROR(VLOOKUP($B58,Sheet3!B:D,3,0),"")</f>
        <v>AHMEDABAD</v>
      </c>
      <c r="AF58" t="str">
        <f>IFERROR(VLOOKUP($B58,Sheet3!B:H,7,0),"")</f>
        <v>DIGVIJAY SINGH</v>
      </c>
      <c r="AG58">
        <f>-(L58)</f>
        <v>0</v>
      </c>
      <c r="AH58">
        <v>0</v>
      </c>
    </row>
    <row r="59" spans="1:35" x14ac:dyDescent="0.25">
      <c r="A59" s="37">
        <v>46174</v>
      </c>
      <c r="B59" s="7" t="s">
        <v>157</v>
      </c>
      <c r="C59" s="7" t="s">
        <v>266</v>
      </c>
      <c r="D59" s="7" t="s">
        <v>267</v>
      </c>
      <c r="E59" s="7" t="s">
        <v>96</v>
      </c>
      <c r="F59" s="8">
        <v>46185</v>
      </c>
      <c r="G59" s="7">
        <v>1</v>
      </c>
      <c r="H59" s="7" t="s">
        <v>44</v>
      </c>
      <c r="I59" s="7" t="s">
        <v>104</v>
      </c>
      <c r="J59" s="7" t="s">
        <v>268</v>
      </c>
      <c r="K59" s="7">
        <v>39500</v>
      </c>
      <c r="L59" s="7">
        <v>0</v>
      </c>
      <c r="M59" s="7">
        <v>0</v>
      </c>
      <c r="N59" s="7">
        <v>37619.040000000001</v>
      </c>
      <c r="O59" s="7">
        <v>5</v>
      </c>
      <c r="P59" s="7">
        <v>1880.96</v>
      </c>
      <c r="Q59" s="7">
        <v>39500</v>
      </c>
      <c r="R59" s="7" t="s">
        <v>114</v>
      </c>
      <c r="S59" s="7" t="s">
        <v>269</v>
      </c>
      <c r="T59" s="7" t="s">
        <v>96</v>
      </c>
      <c r="U59" s="7" t="s">
        <v>270</v>
      </c>
      <c r="V59" s="7" t="s">
        <v>96</v>
      </c>
      <c r="W59" s="7" t="s">
        <v>96</v>
      </c>
      <c r="X59" s="7" t="s">
        <v>109</v>
      </c>
      <c r="Y59" s="7" t="s">
        <v>99</v>
      </c>
      <c r="Z59" s="7" t="s">
        <v>96</v>
      </c>
      <c r="AA59" s="7" t="s">
        <v>96</v>
      </c>
      <c r="AB59" s="7" t="s">
        <v>96</v>
      </c>
      <c r="AC59" s="7" t="s">
        <v>96</v>
      </c>
      <c r="AD59" s="40" t="s">
        <v>813</v>
      </c>
      <c r="AE59" t="str">
        <f>IFERROR(VLOOKUP($B59,Sheet3!B:D,3,0),"")</f>
        <v>INDORE</v>
      </c>
      <c r="AF59" t="str">
        <f>IFERROR(VLOOKUP($B59,Sheet3!B:H,7,0),"")</f>
        <v>DIGVIJAY SINGH</v>
      </c>
      <c r="AG59">
        <f>-(L59)</f>
        <v>0</v>
      </c>
      <c r="AH59">
        <f t="shared" si="0"/>
        <v>0</v>
      </c>
      <c r="AI59">
        <f t="shared" ref="AI59:AI61" si="8">G59*500</f>
        <v>500</v>
      </c>
    </row>
    <row r="60" spans="1:35" x14ac:dyDescent="0.25">
      <c r="A60" s="37">
        <v>46174</v>
      </c>
      <c r="B60" s="7" t="s">
        <v>125</v>
      </c>
      <c r="C60" s="7" t="s">
        <v>126</v>
      </c>
      <c r="D60" s="7" t="s">
        <v>271</v>
      </c>
      <c r="E60" s="7" t="s">
        <v>96</v>
      </c>
      <c r="F60" s="8">
        <v>46192</v>
      </c>
      <c r="G60" s="7">
        <v>1</v>
      </c>
      <c r="H60" s="7" t="s">
        <v>12</v>
      </c>
      <c r="I60" s="7" t="s">
        <v>104</v>
      </c>
      <c r="J60" s="7" t="s">
        <v>272</v>
      </c>
      <c r="K60" s="7">
        <v>39500</v>
      </c>
      <c r="L60" s="7">
        <v>-7900</v>
      </c>
      <c r="M60" s="7">
        <v>0</v>
      </c>
      <c r="N60" s="7">
        <v>30095.24</v>
      </c>
      <c r="O60" s="7">
        <v>5</v>
      </c>
      <c r="P60" s="7">
        <v>1504.76</v>
      </c>
      <c r="Q60" s="7">
        <v>31600</v>
      </c>
      <c r="R60" s="7" t="s">
        <v>114</v>
      </c>
      <c r="S60" s="7" t="s">
        <v>273</v>
      </c>
      <c r="T60" s="7" t="s">
        <v>116</v>
      </c>
      <c r="U60" s="7" t="s">
        <v>274</v>
      </c>
      <c r="V60" s="7" t="s">
        <v>96</v>
      </c>
      <c r="W60" s="7" t="s">
        <v>96</v>
      </c>
      <c r="X60" s="7" t="s">
        <v>109</v>
      </c>
      <c r="Y60" s="7" t="s">
        <v>99</v>
      </c>
      <c r="Z60" s="7" t="s">
        <v>96</v>
      </c>
      <c r="AA60" s="7" t="s">
        <v>96</v>
      </c>
      <c r="AB60" s="7" t="s">
        <v>96</v>
      </c>
      <c r="AC60" s="7" t="s">
        <v>96</v>
      </c>
      <c r="AD60" s="40" t="s">
        <v>813</v>
      </c>
      <c r="AE60" t="str">
        <f>IFERROR(VLOOKUP($B60,Sheet3!B:D,3,0),"")</f>
        <v>PUDUCHERRY</v>
      </c>
      <c r="AF60" t="str">
        <f>IFERROR(VLOOKUP($B60,Sheet3!B:H,7,0),"")</f>
        <v>D. N.CHOWDHURY</v>
      </c>
      <c r="AG60">
        <f>-(L60)</f>
        <v>7900</v>
      </c>
      <c r="AH60">
        <f t="shared" si="0"/>
        <v>7900</v>
      </c>
      <c r="AI60">
        <f t="shared" si="8"/>
        <v>500</v>
      </c>
    </row>
    <row r="61" spans="1:35" x14ac:dyDescent="0.25">
      <c r="A61" s="37">
        <v>46174</v>
      </c>
      <c r="B61" s="7" t="s">
        <v>152</v>
      </c>
      <c r="C61" s="7" t="s">
        <v>275</v>
      </c>
      <c r="D61" s="7" t="s">
        <v>276</v>
      </c>
      <c r="E61" s="7" t="s">
        <v>96</v>
      </c>
      <c r="F61" s="8">
        <v>46196</v>
      </c>
      <c r="G61" s="7">
        <v>1</v>
      </c>
      <c r="H61" s="7" t="s">
        <v>53</v>
      </c>
      <c r="I61" s="7" t="s">
        <v>104</v>
      </c>
      <c r="J61" s="7" t="s">
        <v>251</v>
      </c>
      <c r="K61" s="7">
        <v>44500</v>
      </c>
      <c r="L61" s="7">
        <v>-4450</v>
      </c>
      <c r="M61" s="7">
        <v>0</v>
      </c>
      <c r="N61" s="7">
        <v>38142.86</v>
      </c>
      <c r="O61" s="7">
        <v>5</v>
      </c>
      <c r="P61" s="7">
        <v>1907.14</v>
      </c>
      <c r="Q61" s="7">
        <v>40050</v>
      </c>
      <c r="R61" s="7" t="s">
        <v>106</v>
      </c>
      <c r="S61" s="7" t="s">
        <v>277</v>
      </c>
      <c r="T61" s="7" t="s">
        <v>96</v>
      </c>
      <c r="U61" s="7" t="s">
        <v>278</v>
      </c>
      <c r="V61" s="7" t="s">
        <v>96</v>
      </c>
      <c r="W61" s="7" t="s">
        <v>96</v>
      </c>
      <c r="X61" s="7" t="s">
        <v>109</v>
      </c>
      <c r="Y61" s="7" t="s">
        <v>99</v>
      </c>
      <c r="Z61" s="7" t="s">
        <v>96</v>
      </c>
      <c r="AA61" s="7" t="s">
        <v>279</v>
      </c>
      <c r="AB61" s="7" t="s">
        <v>280</v>
      </c>
      <c r="AC61" s="7" t="s">
        <v>96</v>
      </c>
      <c r="AD61" s="40" t="s">
        <v>813</v>
      </c>
      <c r="AE61" t="str">
        <f>IFERROR(VLOOKUP($B61,Sheet3!B:D,3,0),"")</f>
        <v>LUDHIANA</v>
      </c>
      <c r="AF61" t="str">
        <f>IFERROR(VLOOKUP($B61,Sheet3!B:H,7,0),"")</f>
        <v>AMANDEEP SINGH GILL</v>
      </c>
      <c r="AG61">
        <f>-(L61)</f>
        <v>4450</v>
      </c>
      <c r="AH61">
        <f t="shared" si="0"/>
        <v>4450</v>
      </c>
      <c r="AI61">
        <f t="shared" si="8"/>
        <v>500</v>
      </c>
    </row>
    <row r="62" spans="1:35" x14ac:dyDescent="0.25">
      <c r="A62" s="37">
        <v>46174</v>
      </c>
      <c r="B62" s="7" t="s">
        <v>152</v>
      </c>
      <c r="C62" s="7" t="s">
        <v>275</v>
      </c>
      <c r="D62" s="7" t="s">
        <v>276</v>
      </c>
      <c r="E62" s="7" t="s">
        <v>96</v>
      </c>
      <c r="F62" s="8">
        <v>46196</v>
      </c>
      <c r="G62" s="7">
        <v>1</v>
      </c>
      <c r="H62" s="7" t="s">
        <v>784</v>
      </c>
      <c r="I62" s="7" t="s">
        <v>785</v>
      </c>
      <c r="J62" s="7" t="s">
        <v>786</v>
      </c>
      <c r="K62" s="7">
        <v>5145</v>
      </c>
      <c r="L62" s="7">
        <v>0</v>
      </c>
      <c r="M62" s="7">
        <v>0</v>
      </c>
      <c r="N62" s="7">
        <v>4900</v>
      </c>
      <c r="O62" s="7">
        <v>5</v>
      </c>
      <c r="P62" s="7">
        <v>245</v>
      </c>
      <c r="Q62" s="7">
        <v>5145</v>
      </c>
      <c r="R62" s="7" t="s">
        <v>106</v>
      </c>
      <c r="S62" s="7" t="s">
        <v>277</v>
      </c>
      <c r="T62" s="7" t="s">
        <v>96</v>
      </c>
      <c r="U62" s="7" t="s">
        <v>278</v>
      </c>
      <c r="V62" s="7" t="s">
        <v>763</v>
      </c>
      <c r="W62" s="7" t="s">
        <v>96</v>
      </c>
      <c r="X62" s="7" t="s">
        <v>765</v>
      </c>
      <c r="Y62" s="7" t="s">
        <v>99</v>
      </c>
      <c r="Z62" s="7" t="s">
        <v>96</v>
      </c>
      <c r="AA62" s="7" t="s">
        <v>279</v>
      </c>
      <c r="AB62" s="7" t="s">
        <v>280</v>
      </c>
      <c r="AC62" s="7" t="s">
        <v>96</v>
      </c>
      <c r="AD62" s="38" t="s">
        <v>736</v>
      </c>
      <c r="AE62" t="str">
        <f>IFERROR(VLOOKUP($B62,Sheet3!B:D,3,0),"")</f>
        <v>LUDHIANA</v>
      </c>
      <c r="AF62" t="str">
        <f>IFERROR(VLOOKUP($B62,Sheet3!B:H,7,0),"")</f>
        <v>AMANDEEP SINGH GILL</v>
      </c>
      <c r="AG62">
        <f>-(L62)</f>
        <v>0</v>
      </c>
      <c r="AH62">
        <v>0</v>
      </c>
    </row>
    <row r="63" spans="1:35" x14ac:dyDescent="0.25">
      <c r="A63" s="37">
        <v>46174</v>
      </c>
      <c r="B63" s="7" t="s">
        <v>152</v>
      </c>
      <c r="C63" s="7" t="s">
        <v>275</v>
      </c>
      <c r="D63" s="7" t="s">
        <v>276</v>
      </c>
      <c r="E63" s="7" t="s">
        <v>96</v>
      </c>
      <c r="F63" s="8">
        <v>46196</v>
      </c>
      <c r="G63" s="7">
        <v>1</v>
      </c>
      <c r="H63" s="7" t="s">
        <v>784</v>
      </c>
      <c r="I63" s="7" t="s">
        <v>785</v>
      </c>
      <c r="J63" s="7" t="s">
        <v>786</v>
      </c>
      <c r="K63" s="7">
        <v>5145</v>
      </c>
      <c r="L63" s="7">
        <v>0</v>
      </c>
      <c r="M63" s="7">
        <v>0</v>
      </c>
      <c r="N63" s="7">
        <v>4900</v>
      </c>
      <c r="O63" s="7">
        <v>5</v>
      </c>
      <c r="P63" s="7">
        <v>245</v>
      </c>
      <c r="Q63" s="7">
        <v>5145</v>
      </c>
      <c r="R63" s="7" t="s">
        <v>106</v>
      </c>
      <c r="S63" s="7" t="s">
        <v>277</v>
      </c>
      <c r="T63" s="7" t="s">
        <v>787</v>
      </c>
      <c r="U63" s="7" t="s">
        <v>278</v>
      </c>
      <c r="V63" s="7" t="s">
        <v>763</v>
      </c>
      <c r="W63" s="7" t="s">
        <v>96</v>
      </c>
      <c r="X63" s="7" t="s">
        <v>765</v>
      </c>
      <c r="Y63" s="7" t="s">
        <v>99</v>
      </c>
      <c r="Z63" s="7" t="s">
        <v>96</v>
      </c>
      <c r="AA63" s="7" t="s">
        <v>279</v>
      </c>
      <c r="AB63" s="7" t="s">
        <v>280</v>
      </c>
      <c r="AC63" s="7" t="s">
        <v>96</v>
      </c>
      <c r="AD63" s="38" t="s">
        <v>736</v>
      </c>
      <c r="AE63" t="str">
        <f>IFERROR(VLOOKUP($B63,Sheet3!B:D,3,0),"")</f>
        <v>LUDHIANA</v>
      </c>
      <c r="AF63" t="str">
        <f>IFERROR(VLOOKUP($B63,Sheet3!B:H,7,0),"")</f>
        <v>AMANDEEP SINGH GILL</v>
      </c>
      <c r="AG63">
        <f>-(L63)</f>
        <v>0</v>
      </c>
      <c r="AH63">
        <v>0</v>
      </c>
    </row>
    <row r="64" spans="1:35" x14ac:dyDescent="0.25">
      <c r="A64" s="37">
        <v>46174</v>
      </c>
      <c r="B64" s="7" t="s">
        <v>89</v>
      </c>
      <c r="C64" s="7" t="s">
        <v>90</v>
      </c>
      <c r="D64" s="7" t="s">
        <v>281</v>
      </c>
      <c r="E64" s="7" t="s">
        <v>96</v>
      </c>
      <c r="F64" s="8">
        <v>46196</v>
      </c>
      <c r="G64" s="7">
        <v>1</v>
      </c>
      <c r="H64" s="7" t="s">
        <v>20</v>
      </c>
      <c r="I64" s="7" t="s">
        <v>92</v>
      </c>
      <c r="J64" s="7" t="s">
        <v>226</v>
      </c>
      <c r="K64" s="7">
        <v>38500</v>
      </c>
      <c r="L64" s="7">
        <v>-3850</v>
      </c>
      <c r="M64" s="7">
        <v>0</v>
      </c>
      <c r="N64" s="7">
        <v>29364.400000000001</v>
      </c>
      <c r="O64" s="7">
        <v>18</v>
      </c>
      <c r="P64" s="7">
        <v>5285.6</v>
      </c>
      <c r="Q64" s="7">
        <v>34650</v>
      </c>
      <c r="R64" s="7" t="s">
        <v>94</v>
      </c>
      <c r="S64" s="7" t="s">
        <v>282</v>
      </c>
      <c r="T64" s="7" t="s">
        <v>96</v>
      </c>
      <c r="U64" s="7" t="s">
        <v>97</v>
      </c>
      <c r="V64" s="7" t="s">
        <v>96</v>
      </c>
      <c r="W64" s="7" t="s">
        <v>96</v>
      </c>
      <c r="X64" s="7" t="s">
        <v>98</v>
      </c>
      <c r="Y64" s="7" t="s">
        <v>99</v>
      </c>
      <c r="Z64" s="7" t="s">
        <v>96</v>
      </c>
      <c r="AA64" s="7" t="s">
        <v>96</v>
      </c>
      <c r="AB64" s="7" t="s">
        <v>96</v>
      </c>
      <c r="AC64" s="7" t="s">
        <v>96</v>
      </c>
      <c r="AD64" s="40" t="s">
        <v>825</v>
      </c>
      <c r="AE64" t="str">
        <f>IFERROR(VLOOKUP($B64,Sheet3!B:D,3,0),"")</f>
        <v xml:space="preserve">PUNE </v>
      </c>
      <c r="AF64" t="str">
        <f>IFERROR(VLOOKUP($B64,Sheet3!B:H,7,0),"")</f>
        <v>DIGVIJAY SINGH</v>
      </c>
      <c r="AG64">
        <f>-(L64)</f>
        <v>3850</v>
      </c>
      <c r="AH64">
        <f t="shared" si="0"/>
        <v>3850</v>
      </c>
      <c r="AI64">
        <f t="shared" ref="AI64:AI65" si="9">G64*500</f>
        <v>500</v>
      </c>
    </row>
    <row r="65" spans="1:35" x14ac:dyDescent="0.25">
      <c r="A65" s="37">
        <v>46174</v>
      </c>
      <c r="B65" s="7" t="s">
        <v>8</v>
      </c>
      <c r="C65" s="7" t="s">
        <v>285</v>
      </c>
      <c r="D65" s="7" t="s">
        <v>286</v>
      </c>
      <c r="E65" s="7" t="s">
        <v>96</v>
      </c>
      <c r="F65" s="8">
        <v>46203</v>
      </c>
      <c r="G65" s="7">
        <v>1</v>
      </c>
      <c r="H65" s="7" t="s">
        <v>55</v>
      </c>
      <c r="I65" s="7" t="s">
        <v>104</v>
      </c>
      <c r="J65" s="7" t="s">
        <v>113</v>
      </c>
      <c r="K65" s="7">
        <v>44500</v>
      </c>
      <c r="L65" s="7">
        <v>0</v>
      </c>
      <c r="M65" s="7">
        <v>0</v>
      </c>
      <c r="N65" s="7">
        <v>42380.959999999999</v>
      </c>
      <c r="O65" s="7">
        <v>5</v>
      </c>
      <c r="P65" s="7">
        <v>2119.04</v>
      </c>
      <c r="Q65" s="7">
        <v>44500</v>
      </c>
      <c r="R65" s="7" t="s">
        <v>106</v>
      </c>
      <c r="S65" s="7" t="s">
        <v>287</v>
      </c>
      <c r="T65" s="7" t="s">
        <v>96</v>
      </c>
      <c r="U65" s="7" t="s">
        <v>288</v>
      </c>
      <c r="V65" s="7" t="s">
        <v>96</v>
      </c>
      <c r="W65" s="7" t="s">
        <v>96</v>
      </c>
      <c r="X65" s="7" t="s">
        <v>109</v>
      </c>
      <c r="Y65" s="7" t="s">
        <v>99</v>
      </c>
      <c r="Z65" s="7" t="s">
        <v>96</v>
      </c>
      <c r="AA65" s="7" t="s">
        <v>289</v>
      </c>
      <c r="AB65" s="7" t="s">
        <v>290</v>
      </c>
      <c r="AC65" s="7" t="s">
        <v>96</v>
      </c>
      <c r="AD65" s="40" t="s">
        <v>813</v>
      </c>
      <c r="AE65" t="str">
        <f>IFERROR(VLOOKUP($B65,Sheet3!B:D,3,0),"")</f>
        <v>BENGALURU</v>
      </c>
      <c r="AF65" t="str">
        <f>IFERROR(VLOOKUP($B65,Sheet3!B:H,7,0),"")</f>
        <v>D. N.CHOWDHURY</v>
      </c>
      <c r="AG65">
        <f>-(L65)</f>
        <v>0</v>
      </c>
      <c r="AH65">
        <f t="shared" si="0"/>
        <v>0</v>
      </c>
      <c r="AI65">
        <f t="shared" si="9"/>
        <v>500</v>
      </c>
    </row>
    <row r="66" spans="1:35" x14ac:dyDescent="0.25">
      <c r="A66" s="37">
        <v>46174</v>
      </c>
      <c r="B66" s="7" t="s">
        <v>8</v>
      </c>
      <c r="C66" s="7" t="s">
        <v>285</v>
      </c>
      <c r="D66" s="7" t="s">
        <v>286</v>
      </c>
      <c r="E66" s="7" t="s">
        <v>96</v>
      </c>
      <c r="F66" s="8">
        <v>46203</v>
      </c>
      <c r="G66" s="7">
        <v>1</v>
      </c>
      <c r="H66" s="7" t="s">
        <v>737</v>
      </c>
      <c r="I66" s="7" t="s">
        <v>738</v>
      </c>
      <c r="J66" s="7" t="s">
        <v>739</v>
      </c>
      <c r="K66" s="7">
        <v>12700</v>
      </c>
      <c r="L66" s="7">
        <v>0</v>
      </c>
      <c r="M66" s="7">
        <v>0</v>
      </c>
      <c r="N66" s="7">
        <v>12095.24</v>
      </c>
      <c r="O66" s="7">
        <v>5</v>
      </c>
      <c r="P66" s="7">
        <v>604.76</v>
      </c>
      <c r="Q66" s="7">
        <v>12700</v>
      </c>
      <c r="R66" s="7" t="s">
        <v>106</v>
      </c>
      <c r="S66" s="7" t="s">
        <v>287</v>
      </c>
      <c r="T66" s="7" t="s">
        <v>96</v>
      </c>
      <c r="U66" s="7" t="s">
        <v>288</v>
      </c>
      <c r="V66" s="7" t="s">
        <v>740</v>
      </c>
      <c r="W66" s="7" t="s">
        <v>96</v>
      </c>
      <c r="X66" s="7" t="s">
        <v>741</v>
      </c>
      <c r="Y66" s="7" t="s">
        <v>99</v>
      </c>
      <c r="Z66" s="7" t="s">
        <v>96</v>
      </c>
      <c r="AA66" s="7" t="s">
        <v>289</v>
      </c>
      <c r="AB66" s="7" t="s">
        <v>290</v>
      </c>
      <c r="AC66" s="7" t="s">
        <v>96</v>
      </c>
      <c r="AD66" s="38" t="s">
        <v>736</v>
      </c>
      <c r="AE66" t="str">
        <f>IFERROR(VLOOKUP($B66,Sheet3!B:D,3,0),"")</f>
        <v>BENGALURU</v>
      </c>
      <c r="AF66" t="str">
        <f>IFERROR(VLOOKUP($B66,Sheet3!B:H,7,0),"")</f>
        <v>D. N.CHOWDHURY</v>
      </c>
      <c r="AG66">
        <f>-(L66)</f>
        <v>0</v>
      </c>
      <c r="AH66">
        <v>0</v>
      </c>
    </row>
    <row r="67" spans="1:35" x14ac:dyDescent="0.25">
      <c r="A67" s="37">
        <v>46174</v>
      </c>
      <c r="B67" s="7" t="s">
        <v>8</v>
      </c>
      <c r="C67" s="7" t="s">
        <v>285</v>
      </c>
      <c r="D67" s="7" t="s">
        <v>286</v>
      </c>
      <c r="E67" s="7" t="s">
        <v>96</v>
      </c>
      <c r="F67" s="8">
        <v>46203</v>
      </c>
      <c r="G67" s="7">
        <v>1</v>
      </c>
      <c r="H67" s="7" t="s">
        <v>737</v>
      </c>
      <c r="I67" s="7" t="s">
        <v>738</v>
      </c>
      <c r="J67" s="7" t="s">
        <v>739</v>
      </c>
      <c r="K67" s="7">
        <v>12700</v>
      </c>
      <c r="L67" s="7">
        <v>0</v>
      </c>
      <c r="M67" s="7">
        <v>0</v>
      </c>
      <c r="N67" s="7">
        <v>12095.24</v>
      </c>
      <c r="O67" s="7">
        <v>5</v>
      </c>
      <c r="P67" s="7">
        <v>604.76</v>
      </c>
      <c r="Q67" s="7">
        <v>12700</v>
      </c>
      <c r="R67" s="7" t="s">
        <v>106</v>
      </c>
      <c r="S67" s="7" t="s">
        <v>287</v>
      </c>
      <c r="T67" s="7" t="s">
        <v>96</v>
      </c>
      <c r="U67" s="7" t="s">
        <v>288</v>
      </c>
      <c r="V67" s="7" t="s">
        <v>740</v>
      </c>
      <c r="W67" s="7" t="s">
        <v>96</v>
      </c>
      <c r="X67" s="7" t="s">
        <v>741</v>
      </c>
      <c r="Y67" s="7" t="s">
        <v>99</v>
      </c>
      <c r="Z67" s="7" t="s">
        <v>96</v>
      </c>
      <c r="AA67" s="7" t="s">
        <v>289</v>
      </c>
      <c r="AB67" s="7" t="s">
        <v>290</v>
      </c>
      <c r="AC67" s="7" t="s">
        <v>96</v>
      </c>
      <c r="AD67" s="38" t="s">
        <v>736</v>
      </c>
      <c r="AE67" t="str">
        <f>IFERROR(VLOOKUP($B67,Sheet3!B:D,3,0),"")</f>
        <v>BENGALURU</v>
      </c>
      <c r="AF67" t="str">
        <f>IFERROR(VLOOKUP($B67,Sheet3!B:H,7,0),"")</f>
        <v>D. N.CHOWDHURY</v>
      </c>
      <c r="AG67">
        <f>-(L67)</f>
        <v>0</v>
      </c>
      <c r="AH67">
        <v>0</v>
      </c>
    </row>
    <row r="68" spans="1:35" x14ac:dyDescent="0.25">
      <c r="A68" s="37">
        <v>46174</v>
      </c>
      <c r="B68" s="7" t="s">
        <v>117</v>
      </c>
      <c r="C68" s="7" t="s">
        <v>118</v>
      </c>
      <c r="D68" s="7" t="s">
        <v>283</v>
      </c>
      <c r="E68" s="7" t="s">
        <v>96</v>
      </c>
      <c r="F68" s="8">
        <v>46203</v>
      </c>
      <c r="G68" s="7">
        <v>1</v>
      </c>
      <c r="H68" s="7" t="s">
        <v>33</v>
      </c>
      <c r="I68" s="7" t="s">
        <v>104</v>
      </c>
      <c r="J68" s="7" t="s">
        <v>182</v>
      </c>
      <c r="K68" s="7">
        <v>32000</v>
      </c>
      <c r="L68" s="7">
        <v>0</v>
      </c>
      <c r="M68" s="7">
        <v>0</v>
      </c>
      <c r="N68" s="7">
        <v>30476.2</v>
      </c>
      <c r="O68" s="7">
        <v>5</v>
      </c>
      <c r="P68" s="7">
        <v>1523.8</v>
      </c>
      <c r="Q68" s="7">
        <v>32000</v>
      </c>
      <c r="R68" s="7" t="s">
        <v>114</v>
      </c>
      <c r="S68" s="7" t="s">
        <v>284</v>
      </c>
      <c r="T68" s="7" t="s">
        <v>96</v>
      </c>
      <c r="U68" s="7" t="s">
        <v>195</v>
      </c>
      <c r="V68" s="7" t="s">
        <v>96</v>
      </c>
      <c r="W68" s="7" t="s">
        <v>96</v>
      </c>
      <c r="X68" s="7" t="s">
        <v>109</v>
      </c>
      <c r="Y68" s="7" t="s">
        <v>99</v>
      </c>
      <c r="Z68" s="7" t="s">
        <v>96</v>
      </c>
      <c r="AA68" s="7" t="s">
        <v>96</v>
      </c>
      <c r="AB68" s="7" t="s">
        <v>96</v>
      </c>
      <c r="AC68" s="7" t="s">
        <v>96</v>
      </c>
      <c r="AD68" s="40" t="s">
        <v>813</v>
      </c>
      <c r="AE68" t="str">
        <f>IFERROR(VLOOKUP($B68,Sheet3!B:D,3,0),"")</f>
        <v>BENGALURU</v>
      </c>
      <c r="AF68" t="str">
        <f>IFERROR(VLOOKUP($B68,Sheet3!B:H,7,0),"")</f>
        <v>D. N.CHOWDHURY</v>
      </c>
      <c r="AG68">
        <f>-(L68)</f>
        <v>0</v>
      </c>
      <c r="AH68">
        <f t="shared" ref="AH67:AH93" si="10">-(L68)</f>
        <v>0</v>
      </c>
      <c r="AI68">
        <f t="shared" ref="AI68:AI71" si="11">G68*500</f>
        <v>500</v>
      </c>
    </row>
    <row r="69" spans="1:35" x14ac:dyDescent="0.25">
      <c r="A69" s="37">
        <v>46204</v>
      </c>
      <c r="B69" s="7" t="s">
        <v>150</v>
      </c>
      <c r="C69" s="7" t="s">
        <v>291</v>
      </c>
      <c r="D69" s="7" t="s">
        <v>292</v>
      </c>
      <c r="E69" s="7" t="s">
        <v>96</v>
      </c>
      <c r="F69" s="8">
        <v>46206</v>
      </c>
      <c r="G69" s="7">
        <v>1</v>
      </c>
      <c r="H69" s="7" t="s">
        <v>22</v>
      </c>
      <c r="I69" s="7" t="s">
        <v>104</v>
      </c>
      <c r="J69" s="7" t="s">
        <v>120</v>
      </c>
      <c r="K69" s="7">
        <v>32000</v>
      </c>
      <c r="L69" s="7">
        <v>-4800</v>
      </c>
      <c r="M69" s="7">
        <v>0</v>
      </c>
      <c r="N69" s="7">
        <v>25904.76</v>
      </c>
      <c r="O69" s="7">
        <v>5</v>
      </c>
      <c r="P69" s="7">
        <v>1295.24</v>
      </c>
      <c r="Q69" s="7">
        <v>27200</v>
      </c>
      <c r="R69" s="7" t="s">
        <v>114</v>
      </c>
      <c r="S69" s="7" t="s">
        <v>293</v>
      </c>
      <c r="T69" s="7" t="s">
        <v>96</v>
      </c>
      <c r="U69" s="7" t="s">
        <v>294</v>
      </c>
      <c r="V69" s="7" t="s">
        <v>96</v>
      </c>
      <c r="W69" s="7" t="s">
        <v>96</v>
      </c>
      <c r="X69" s="7" t="s">
        <v>109</v>
      </c>
      <c r="Y69" s="7" t="s">
        <v>99</v>
      </c>
      <c r="Z69" s="7" t="s">
        <v>96</v>
      </c>
      <c r="AA69" s="7" t="s">
        <v>96</v>
      </c>
      <c r="AB69" s="7" t="s">
        <v>96</v>
      </c>
      <c r="AC69" s="7" t="s">
        <v>96</v>
      </c>
      <c r="AD69" s="40" t="s">
        <v>813</v>
      </c>
      <c r="AE69" t="str">
        <f>IFERROR(VLOOKUP($B69,Sheet3!B:D,3,0),"")</f>
        <v xml:space="preserve">PUNE </v>
      </c>
      <c r="AF69" t="str">
        <f>IFERROR(VLOOKUP($B69,Sheet3!B:H,7,0),"")</f>
        <v>DIGVIJAY SINGH</v>
      </c>
      <c r="AG69">
        <f>-(L69)</f>
        <v>4800</v>
      </c>
      <c r="AH69">
        <f t="shared" si="10"/>
        <v>4800</v>
      </c>
      <c r="AI69">
        <f t="shared" si="11"/>
        <v>500</v>
      </c>
    </row>
    <row r="70" spans="1:35" x14ac:dyDescent="0.25">
      <c r="A70" s="37">
        <v>46204</v>
      </c>
      <c r="B70" s="7" t="s">
        <v>101</v>
      </c>
      <c r="C70" s="7" t="s">
        <v>102</v>
      </c>
      <c r="D70" s="7" t="s">
        <v>295</v>
      </c>
      <c r="E70" s="7" t="s">
        <v>96</v>
      </c>
      <c r="F70" s="8">
        <v>46206</v>
      </c>
      <c r="G70" s="7">
        <v>1</v>
      </c>
      <c r="H70" s="7" t="s">
        <v>10</v>
      </c>
      <c r="I70" s="7" t="s">
        <v>104</v>
      </c>
      <c r="J70" s="7" t="s">
        <v>296</v>
      </c>
      <c r="K70" s="7">
        <v>29400</v>
      </c>
      <c r="L70" s="7">
        <v>-5880</v>
      </c>
      <c r="M70" s="7">
        <v>0</v>
      </c>
      <c r="N70" s="7">
        <v>22400</v>
      </c>
      <c r="O70" s="7">
        <v>5</v>
      </c>
      <c r="P70" s="7">
        <v>1120</v>
      </c>
      <c r="Q70" s="7">
        <v>23520</v>
      </c>
      <c r="R70" s="7" t="s">
        <v>114</v>
      </c>
      <c r="S70" s="7" t="s">
        <v>297</v>
      </c>
      <c r="T70" s="7" t="s">
        <v>116</v>
      </c>
      <c r="U70" s="7" t="s">
        <v>140</v>
      </c>
      <c r="V70" s="7" t="s">
        <v>96</v>
      </c>
      <c r="W70" s="7" t="s">
        <v>96</v>
      </c>
      <c r="X70" s="7" t="s">
        <v>109</v>
      </c>
      <c r="Y70" s="7" t="s">
        <v>99</v>
      </c>
      <c r="Z70" s="7" t="s">
        <v>96</v>
      </c>
      <c r="AA70" s="7" t="s">
        <v>96</v>
      </c>
      <c r="AB70" s="7" t="s">
        <v>298</v>
      </c>
      <c r="AC70" s="7" t="s">
        <v>96</v>
      </c>
      <c r="AD70" s="40" t="s">
        <v>813</v>
      </c>
      <c r="AE70" t="str">
        <f>IFERROR(VLOOKUP($B70,Sheet3!B:D,3,0),"")</f>
        <v>BENGALURU</v>
      </c>
      <c r="AF70" t="str">
        <f>IFERROR(VLOOKUP($B70,Sheet3!B:H,7,0),"")</f>
        <v>D. N.CHOWDHURY</v>
      </c>
      <c r="AG70">
        <f>-(L70)</f>
        <v>5880</v>
      </c>
      <c r="AH70">
        <f t="shared" si="10"/>
        <v>5880</v>
      </c>
      <c r="AI70">
        <f t="shared" si="11"/>
        <v>500</v>
      </c>
    </row>
    <row r="71" spans="1:35" x14ac:dyDescent="0.25">
      <c r="A71" s="37">
        <v>46204</v>
      </c>
      <c r="B71" s="7" t="s">
        <v>156</v>
      </c>
      <c r="C71" s="7" t="s">
        <v>299</v>
      </c>
      <c r="D71" s="7" t="s">
        <v>300</v>
      </c>
      <c r="E71" s="7" t="s">
        <v>96</v>
      </c>
      <c r="F71" s="8">
        <v>46209</v>
      </c>
      <c r="G71" s="7">
        <v>1</v>
      </c>
      <c r="H71" s="7" t="s">
        <v>9</v>
      </c>
      <c r="I71" s="7" t="s">
        <v>104</v>
      </c>
      <c r="J71" s="7" t="s">
        <v>133</v>
      </c>
      <c r="K71" s="7">
        <v>29400</v>
      </c>
      <c r="L71" s="7">
        <v>-5880</v>
      </c>
      <c r="M71" s="7">
        <v>0</v>
      </c>
      <c r="N71" s="7">
        <v>22400</v>
      </c>
      <c r="O71" s="7">
        <v>5</v>
      </c>
      <c r="P71" s="7">
        <v>1120</v>
      </c>
      <c r="Q71" s="7">
        <v>23520</v>
      </c>
      <c r="R71" s="7" t="s">
        <v>106</v>
      </c>
      <c r="S71" s="7" t="s">
        <v>301</v>
      </c>
      <c r="T71" s="7" t="s">
        <v>96</v>
      </c>
      <c r="U71" s="7" t="s">
        <v>302</v>
      </c>
      <c r="V71" s="7" t="s">
        <v>96</v>
      </c>
      <c r="W71" s="7" t="s">
        <v>96</v>
      </c>
      <c r="X71" s="7" t="s">
        <v>109</v>
      </c>
      <c r="Y71" s="7" t="s">
        <v>99</v>
      </c>
      <c r="Z71" s="7" t="s">
        <v>96</v>
      </c>
      <c r="AA71" s="7" t="s">
        <v>303</v>
      </c>
      <c r="AB71" s="7" t="s">
        <v>304</v>
      </c>
      <c r="AC71" s="7" t="s">
        <v>96</v>
      </c>
      <c r="AD71" s="40" t="s">
        <v>813</v>
      </c>
      <c r="AE71" t="str">
        <f>IFERROR(VLOOKUP($B71,Sheet3!B:D,3,0),"")</f>
        <v>SILIGURI</v>
      </c>
      <c r="AF71" t="str">
        <f>IFERROR(VLOOKUP($B71,Sheet3!B:H,7,0),"")</f>
        <v xml:space="preserve">JOYDEEP DATTA </v>
      </c>
      <c r="AG71">
        <f>-(L71)</f>
        <v>5880</v>
      </c>
      <c r="AH71">
        <f t="shared" si="10"/>
        <v>5880</v>
      </c>
      <c r="AI71">
        <f t="shared" si="11"/>
        <v>500</v>
      </c>
    </row>
    <row r="72" spans="1:35" x14ac:dyDescent="0.25">
      <c r="A72" s="37">
        <v>46204</v>
      </c>
      <c r="B72" s="7" t="s">
        <v>156</v>
      </c>
      <c r="C72" s="7" t="s">
        <v>299</v>
      </c>
      <c r="D72" s="7" t="s">
        <v>300</v>
      </c>
      <c r="E72" s="7" t="s">
        <v>96</v>
      </c>
      <c r="F72" s="8">
        <v>46209</v>
      </c>
      <c r="G72" s="7">
        <v>1</v>
      </c>
      <c r="H72" s="7" t="s">
        <v>772</v>
      </c>
      <c r="I72" s="7" t="s">
        <v>749</v>
      </c>
      <c r="J72" s="7" t="s">
        <v>773</v>
      </c>
      <c r="K72" s="7">
        <v>3150</v>
      </c>
      <c r="L72" s="7">
        <v>-320</v>
      </c>
      <c r="M72" s="7">
        <v>0</v>
      </c>
      <c r="N72" s="7">
        <v>2695.24</v>
      </c>
      <c r="O72" s="7">
        <v>5</v>
      </c>
      <c r="P72" s="7">
        <v>134.76</v>
      </c>
      <c r="Q72" s="7">
        <v>2830</v>
      </c>
      <c r="R72" s="7" t="s">
        <v>106</v>
      </c>
      <c r="S72" s="7" t="s">
        <v>301</v>
      </c>
      <c r="T72" s="7" t="s">
        <v>96</v>
      </c>
      <c r="U72" s="7" t="s">
        <v>302</v>
      </c>
      <c r="V72" s="7" t="s">
        <v>740</v>
      </c>
      <c r="W72" s="7" t="s">
        <v>96</v>
      </c>
      <c r="X72" s="7" t="s">
        <v>752</v>
      </c>
      <c r="Y72" s="7" t="s">
        <v>99</v>
      </c>
      <c r="Z72" s="7" t="s">
        <v>96</v>
      </c>
      <c r="AA72" s="7" t="s">
        <v>303</v>
      </c>
      <c r="AB72" s="7" t="s">
        <v>304</v>
      </c>
      <c r="AC72" s="7" t="s">
        <v>96</v>
      </c>
      <c r="AD72" s="38" t="s">
        <v>736</v>
      </c>
      <c r="AE72" t="str">
        <f>IFERROR(VLOOKUP($B72,Sheet3!B:D,3,0),"")</f>
        <v>SILIGURI</v>
      </c>
      <c r="AF72" t="str">
        <f>IFERROR(VLOOKUP($B72,Sheet3!B:H,7,0),"")</f>
        <v xml:space="preserve">JOYDEEP DATTA </v>
      </c>
      <c r="AG72">
        <f>-(L72)</f>
        <v>320</v>
      </c>
      <c r="AH72">
        <v>0</v>
      </c>
    </row>
    <row r="73" spans="1:35" x14ac:dyDescent="0.25">
      <c r="A73" s="37">
        <v>46204</v>
      </c>
      <c r="B73" s="7" t="s">
        <v>156</v>
      </c>
      <c r="C73" s="7" t="s">
        <v>299</v>
      </c>
      <c r="D73" s="7" t="s">
        <v>300</v>
      </c>
      <c r="E73" s="7" t="s">
        <v>96</v>
      </c>
      <c r="F73" s="8">
        <v>46209</v>
      </c>
      <c r="G73" s="7">
        <v>1</v>
      </c>
      <c r="H73" s="7" t="s">
        <v>772</v>
      </c>
      <c r="I73" s="7" t="s">
        <v>749</v>
      </c>
      <c r="J73" s="7" t="s">
        <v>773</v>
      </c>
      <c r="K73" s="7">
        <v>3150</v>
      </c>
      <c r="L73" s="7">
        <v>0</v>
      </c>
      <c r="M73" s="7">
        <v>0</v>
      </c>
      <c r="N73" s="7">
        <v>3000</v>
      </c>
      <c r="O73" s="7">
        <v>5</v>
      </c>
      <c r="P73" s="7">
        <v>150</v>
      </c>
      <c r="Q73" s="7">
        <v>3150</v>
      </c>
      <c r="R73" s="7" t="s">
        <v>106</v>
      </c>
      <c r="S73" s="7" t="s">
        <v>301</v>
      </c>
      <c r="T73" s="7" t="s">
        <v>116</v>
      </c>
      <c r="U73" s="7" t="s">
        <v>302</v>
      </c>
      <c r="V73" s="7" t="s">
        <v>740</v>
      </c>
      <c r="W73" s="7" t="s">
        <v>96</v>
      </c>
      <c r="X73" s="7" t="s">
        <v>752</v>
      </c>
      <c r="Y73" s="7" t="s">
        <v>99</v>
      </c>
      <c r="Z73" s="7" t="s">
        <v>96</v>
      </c>
      <c r="AA73" s="7" t="s">
        <v>303</v>
      </c>
      <c r="AB73" s="7" t="s">
        <v>304</v>
      </c>
      <c r="AC73" s="7" t="s">
        <v>96</v>
      </c>
      <c r="AD73" s="38" t="s">
        <v>736</v>
      </c>
      <c r="AE73" t="str">
        <f>IFERROR(VLOOKUP($B73,Sheet3!B:D,3,0),"")</f>
        <v>SILIGURI</v>
      </c>
      <c r="AF73" t="str">
        <f>IFERROR(VLOOKUP($B73,Sheet3!B:H,7,0),"")</f>
        <v xml:space="preserve">JOYDEEP DATTA </v>
      </c>
      <c r="AG73">
        <f>-(L73)</f>
        <v>0</v>
      </c>
      <c r="AH73">
        <v>0</v>
      </c>
    </row>
    <row r="74" spans="1:35" x14ac:dyDescent="0.25">
      <c r="A74" s="37">
        <v>46204</v>
      </c>
      <c r="B74" s="7" t="s">
        <v>101</v>
      </c>
      <c r="C74" s="7" t="s">
        <v>102</v>
      </c>
      <c r="D74" s="7" t="s">
        <v>305</v>
      </c>
      <c r="E74" s="7" t="s">
        <v>96</v>
      </c>
      <c r="F74" s="8">
        <v>46220</v>
      </c>
      <c r="G74" s="7">
        <v>1</v>
      </c>
      <c r="H74" s="7" t="s">
        <v>51</v>
      </c>
      <c r="I74" s="7" t="s">
        <v>104</v>
      </c>
      <c r="J74" s="7" t="s">
        <v>306</v>
      </c>
      <c r="K74" s="7">
        <v>38500</v>
      </c>
      <c r="L74" s="7">
        <v>-7700</v>
      </c>
      <c r="M74" s="7">
        <v>0</v>
      </c>
      <c r="N74" s="7">
        <v>29333.34</v>
      </c>
      <c r="O74" s="7">
        <v>5</v>
      </c>
      <c r="P74" s="7">
        <v>1466.66</v>
      </c>
      <c r="Q74" s="7">
        <v>30800</v>
      </c>
      <c r="R74" s="7" t="s">
        <v>114</v>
      </c>
      <c r="S74" s="7" t="s">
        <v>307</v>
      </c>
      <c r="T74" s="7" t="s">
        <v>116</v>
      </c>
      <c r="U74" s="7" t="s">
        <v>135</v>
      </c>
      <c r="V74" s="7" t="s">
        <v>96</v>
      </c>
      <c r="W74" s="7" t="s">
        <v>96</v>
      </c>
      <c r="X74" s="7" t="s">
        <v>109</v>
      </c>
      <c r="Y74" s="7" t="s">
        <v>99</v>
      </c>
      <c r="Z74" s="7" t="s">
        <v>96</v>
      </c>
      <c r="AA74" s="7" t="s">
        <v>96</v>
      </c>
      <c r="AB74" s="7" t="s">
        <v>308</v>
      </c>
      <c r="AC74" s="7" t="s">
        <v>96</v>
      </c>
      <c r="AD74" s="40" t="s">
        <v>813</v>
      </c>
      <c r="AE74" t="str">
        <f>IFERROR(VLOOKUP($B74,Sheet3!B:D,3,0),"")</f>
        <v>BENGALURU</v>
      </c>
      <c r="AF74" t="str">
        <f>IFERROR(VLOOKUP($B74,Sheet3!B:H,7,0),"")</f>
        <v>D. N.CHOWDHURY</v>
      </c>
      <c r="AG74">
        <f>-(L74)</f>
        <v>7700</v>
      </c>
      <c r="AH74">
        <f t="shared" si="10"/>
        <v>7700</v>
      </c>
      <c r="AI74">
        <f t="shared" ref="AI74:AI77" si="12">G74*500</f>
        <v>500</v>
      </c>
    </row>
    <row r="75" spans="1:35" x14ac:dyDescent="0.25">
      <c r="A75" s="37">
        <v>46204</v>
      </c>
      <c r="B75" s="7" t="s">
        <v>117</v>
      </c>
      <c r="C75" s="7" t="s">
        <v>118</v>
      </c>
      <c r="D75" s="7" t="s">
        <v>309</v>
      </c>
      <c r="E75" s="7" t="s">
        <v>96</v>
      </c>
      <c r="F75" s="8">
        <v>46221</v>
      </c>
      <c r="G75" s="7">
        <v>-1</v>
      </c>
      <c r="H75" s="7" t="s">
        <v>33</v>
      </c>
      <c r="I75" s="7" t="s">
        <v>104</v>
      </c>
      <c r="J75" s="7" t="s">
        <v>182</v>
      </c>
      <c r="K75" s="7">
        <v>32000</v>
      </c>
      <c r="L75" s="7">
        <v>0</v>
      </c>
      <c r="M75" s="7">
        <v>0</v>
      </c>
      <c r="N75" s="7">
        <v>-30476.2</v>
      </c>
      <c r="O75" s="7">
        <v>5</v>
      </c>
      <c r="P75" s="7">
        <v>-1523.8</v>
      </c>
      <c r="Q75" s="7">
        <v>-32000</v>
      </c>
      <c r="R75" s="7" t="s">
        <v>114</v>
      </c>
      <c r="S75" s="7" t="s">
        <v>284</v>
      </c>
      <c r="T75" s="7" t="s">
        <v>96</v>
      </c>
      <c r="U75" s="7" t="s">
        <v>195</v>
      </c>
      <c r="V75" s="7" t="s">
        <v>96</v>
      </c>
      <c r="W75" s="7" t="s">
        <v>96</v>
      </c>
      <c r="X75" s="7" t="s">
        <v>109</v>
      </c>
      <c r="Y75" s="7" t="s">
        <v>99</v>
      </c>
      <c r="Z75" s="7" t="s">
        <v>96</v>
      </c>
      <c r="AA75" s="7" t="s">
        <v>96</v>
      </c>
      <c r="AB75" s="7" t="s">
        <v>96</v>
      </c>
      <c r="AC75" s="7" t="s">
        <v>96</v>
      </c>
      <c r="AD75" s="40" t="s">
        <v>813</v>
      </c>
      <c r="AE75" t="str">
        <f>IFERROR(VLOOKUP($B75,Sheet3!B:D,3,0),"")</f>
        <v>BENGALURU</v>
      </c>
      <c r="AF75" t="str">
        <f>IFERROR(VLOOKUP($B75,Sheet3!B:H,7,0),"")</f>
        <v>D. N.CHOWDHURY</v>
      </c>
      <c r="AG75">
        <f>-(L75)</f>
        <v>0</v>
      </c>
      <c r="AH75">
        <f t="shared" si="10"/>
        <v>0</v>
      </c>
      <c r="AI75">
        <f t="shared" si="12"/>
        <v>-500</v>
      </c>
    </row>
    <row r="76" spans="1:35" x14ac:dyDescent="0.25">
      <c r="A76" s="37">
        <v>46204</v>
      </c>
      <c r="B76" s="7" t="s">
        <v>117</v>
      </c>
      <c r="C76" s="7" t="s">
        <v>118</v>
      </c>
      <c r="D76" s="7" t="s">
        <v>310</v>
      </c>
      <c r="E76" s="7" t="s">
        <v>96</v>
      </c>
      <c r="F76" s="8">
        <v>46229</v>
      </c>
      <c r="G76" s="7">
        <v>1</v>
      </c>
      <c r="H76" s="7" t="s">
        <v>55</v>
      </c>
      <c r="I76" s="7" t="s">
        <v>104</v>
      </c>
      <c r="J76" s="7" t="s">
        <v>113</v>
      </c>
      <c r="K76" s="7">
        <v>44500</v>
      </c>
      <c r="L76" s="7">
        <v>-8900</v>
      </c>
      <c r="M76" s="7">
        <v>0</v>
      </c>
      <c r="N76" s="7">
        <v>33904.76</v>
      </c>
      <c r="O76" s="7">
        <v>5</v>
      </c>
      <c r="P76" s="7">
        <v>1695.24</v>
      </c>
      <c r="Q76" s="7">
        <v>35600</v>
      </c>
      <c r="R76" s="7" t="s">
        <v>114</v>
      </c>
      <c r="S76" s="7" t="s">
        <v>311</v>
      </c>
      <c r="T76" s="7" t="s">
        <v>116</v>
      </c>
      <c r="U76" s="7" t="s">
        <v>195</v>
      </c>
      <c r="V76" s="7" t="s">
        <v>96</v>
      </c>
      <c r="W76" s="7" t="s">
        <v>96</v>
      </c>
      <c r="X76" s="7" t="s">
        <v>109</v>
      </c>
      <c r="Y76" s="7" t="s">
        <v>99</v>
      </c>
      <c r="Z76" s="7" t="s">
        <v>312</v>
      </c>
      <c r="AA76" s="7" t="s">
        <v>96</v>
      </c>
      <c r="AB76" s="7" t="s">
        <v>313</v>
      </c>
      <c r="AC76" s="7" t="s">
        <v>96</v>
      </c>
      <c r="AD76" s="40" t="s">
        <v>813</v>
      </c>
      <c r="AE76" t="str">
        <f>IFERROR(VLOOKUP($B76,Sheet3!B:D,3,0),"")</f>
        <v>BENGALURU</v>
      </c>
      <c r="AF76" t="str">
        <f>IFERROR(VLOOKUP($B76,Sheet3!B:H,7,0),"")</f>
        <v>D. N.CHOWDHURY</v>
      </c>
      <c r="AG76">
        <f>-(L76)</f>
        <v>8900</v>
      </c>
      <c r="AH76">
        <f t="shared" si="10"/>
        <v>8900</v>
      </c>
      <c r="AI76">
        <f t="shared" si="12"/>
        <v>500</v>
      </c>
    </row>
    <row r="77" spans="1:35" x14ac:dyDescent="0.25">
      <c r="A77" s="37">
        <v>46204</v>
      </c>
      <c r="B77" s="7" t="s">
        <v>156</v>
      </c>
      <c r="C77" s="7" t="s">
        <v>299</v>
      </c>
      <c r="D77" s="7" t="s">
        <v>314</v>
      </c>
      <c r="E77" s="7" t="s">
        <v>96</v>
      </c>
      <c r="F77" s="8">
        <v>46232</v>
      </c>
      <c r="G77" s="7">
        <v>1</v>
      </c>
      <c r="H77" s="7" t="s">
        <v>12</v>
      </c>
      <c r="I77" s="7" t="s">
        <v>104</v>
      </c>
      <c r="J77" s="7" t="s">
        <v>272</v>
      </c>
      <c r="K77" s="7">
        <v>39500</v>
      </c>
      <c r="L77" s="7">
        <v>-7900</v>
      </c>
      <c r="M77" s="7">
        <v>0</v>
      </c>
      <c r="N77" s="7">
        <v>30095.24</v>
      </c>
      <c r="O77" s="7">
        <v>5</v>
      </c>
      <c r="P77" s="7">
        <v>1504.76</v>
      </c>
      <c r="Q77" s="7">
        <v>31600</v>
      </c>
      <c r="R77" s="7" t="s">
        <v>106</v>
      </c>
      <c r="S77" s="7" t="s">
        <v>315</v>
      </c>
      <c r="T77" s="7" t="s">
        <v>319</v>
      </c>
      <c r="U77" s="7" t="s">
        <v>316</v>
      </c>
      <c r="V77" s="7" t="s">
        <v>96</v>
      </c>
      <c r="W77" s="7" t="s">
        <v>96</v>
      </c>
      <c r="X77" s="7" t="s">
        <v>109</v>
      </c>
      <c r="Y77" s="7" t="s">
        <v>99</v>
      </c>
      <c r="Z77" s="7" t="s">
        <v>96</v>
      </c>
      <c r="AA77" s="7" t="s">
        <v>320</v>
      </c>
      <c r="AB77" s="7" t="s">
        <v>318</v>
      </c>
      <c r="AC77" s="7" t="s">
        <v>96</v>
      </c>
      <c r="AD77" s="40" t="s">
        <v>813</v>
      </c>
      <c r="AE77" t="str">
        <f>IFERROR(VLOOKUP($B77,Sheet3!B:D,3,0),"")</f>
        <v>SILIGURI</v>
      </c>
      <c r="AF77" t="str">
        <f>IFERROR(VLOOKUP($B77,Sheet3!B:H,7,0),"")</f>
        <v xml:space="preserve">JOYDEEP DATTA </v>
      </c>
      <c r="AG77">
        <f>-(L77)</f>
        <v>7900</v>
      </c>
      <c r="AH77">
        <f t="shared" si="10"/>
        <v>7900</v>
      </c>
      <c r="AI77">
        <f t="shared" si="12"/>
        <v>500</v>
      </c>
    </row>
    <row r="78" spans="1:35" x14ac:dyDescent="0.25">
      <c r="A78" s="37">
        <v>46204</v>
      </c>
      <c r="B78" s="7" t="s">
        <v>156</v>
      </c>
      <c r="C78" s="7" t="s">
        <v>299</v>
      </c>
      <c r="D78" s="7" t="s">
        <v>314</v>
      </c>
      <c r="E78" s="7" t="s">
        <v>96</v>
      </c>
      <c r="F78" s="8">
        <v>46232</v>
      </c>
      <c r="G78" s="7">
        <v>1</v>
      </c>
      <c r="H78" s="7" t="s">
        <v>770</v>
      </c>
      <c r="I78" s="7" t="s">
        <v>749</v>
      </c>
      <c r="J78" s="7" t="s">
        <v>771</v>
      </c>
      <c r="K78" s="7">
        <v>2650</v>
      </c>
      <c r="L78" s="7">
        <v>-1325</v>
      </c>
      <c r="M78" s="7">
        <v>0</v>
      </c>
      <c r="N78" s="7">
        <v>1261.9000000000001</v>
      </c>
      <c r="O78" s="7">
        <v>5</v>
      </c>
      <c r="P78" s="7">
        <v>63.1</v>
      </c>
      <c r="Q78" s="7">
        <v>1325</v>
      </c>
      <c r="R78" s="7" t="s">
        <v>106</v>
      </c>
      <c r="S78" s="7" t="s">
        <v>315</v>
      </c>
      <c r="T78" s="7" t="s">
        <v>319</v>
      </c>
      <c r="U78" s="7" t="s">
        <v>316</v>
      </c>
      <c r="V78" s="7" t="s">
        <v>740</v>
      </c>
      <c r="W78" s="7" t="s">
        <v>96</v>
      </c>
      <c r="X78" s="7" t="s">
        <v>752</v>
      </c>
      <c r="Y78" s="7" t="s">
        <v>99</v>
      </c>
      <c r="Z78" s="7" t="s">
        <v>96</v>
      </c>
      <c r="AA78" s="7" t="s">
        <v>320</v>
      </c>
      <c r="AB78" s="7" t="s">
        <v>318</v>
      </c>
      <c r="AC78" s="7" t="s">
        <v>96</v>
      </c>
      <c r="AD78" s="38" t="s">
        <v>736</v>
      </c>
      <c r="AE78" t="str">
        <f>IFERROR(VLOOKUP($B78,Sheet3!B:D,3,0),"")</f>
        <v>SILIGURI</v>
      </c>
      <c r="AF78" t="str">
        <f>IFERROR(VLOOKUP($B78,Sheet3!B:H,7,0),"")</f>
        <v xml:space="preserve">JOYDEEP DATTA </v>
      </c>
      <c r="AG78">
        <f>-(L78)</f>
        <v>1325</v>
      </c>
      <c r="AH78">
        <v>0</v>
      </c>
    </row>
    <row r="79" spans="1:35" x14ac:dyDescent="0.25">
      <c r="A79" s="37">
        <v>46204</v>
      </c>
      <c r="B79" s="7" t="s">
        <v>156</v>
      </c>
      <c r="C79" s="7" t="s">
        <v>299</v>
      </c>
      <c r="D79" s="7" t="s">
        <v>314</v>
      </c>
      <c r="E79" s="7" t="s">
        <v>96</v>
      </c>
      <c r="F79" s="8">
        <v>46232</v>
      </c>
      <c r="G79" s="7">
        <v>1</v>
      </c>
      <c r="H79" s="7" t="s">
        <v>770</v>
      </c>
      <c r="I79" s="7" t="s">
        <v>749</v>
      </c>
      <c r="J79" s="7" t="s">
        <v>771</v>
      </c>
      <c r="K79" s="7">
        <v>2650</v>
      </c>
      <c r="L79" s="7">
        <v>-1325</v>
      </c>
      <c r="M79" s="7">
        <v>0</v>
      </c>
      <c r="N79" s="7">
        <v>1261.9000000000001</v>
      </c>
      <c r="O79" s="7">
        <v>5</v>
      </c>
      <c r="P79" s="7">
        <v>63.1</v>
      </c>
      <c r="Q79" s="7">
        <v>1325</v>
      </c>
      <c r="R79" s="7" t="s">
        <v>106</v>
      </c>
      <c r="S79" s="7" t="s">
        <v>315</v>
      </c>
      <c r="T79" s="7" t="s">
        <v>324</v>
      </c>
      <c r="U79" s="7" t="s">
        <v>316</v>
      </c>
      <c r="V79" s="7" t="s">
        <v>740</v>
      </c>
      <c r="W79" s="7" t="s">
        <v>96</v>
      </c>
      <c r="X79" s="7" t="s">
        <v>752</v>
      </c>
      <c r="Y79" s="7" t="s">
        <v>99</v>
      </c>
      <c r="Z79" s="7" t="s">
        <v>96</v>
      </c>
      <c r="AA79" s="7" t="s">
        <v>320</v>
      </c>
      <c r="AB79" s="7" t="s">
        <v>318</v>
      </c>
      <c r="AC79" s="7" t="s">
        <v>96</v>
      </c>
      <c r="AD79" s="38" t="s">
        <v>736</v>
      </c>
      <c r="AE79" t="str">
        <f>IFERROR(VLOOKUP($B79,Sheet3!B:D,3,0),"")</f>
        <v>SILIGURI</v>
      </c>
      <c r="AF79" t="str">
        <f>IFERROR(VLOOKUP($B79,Sheet3!B:H,7,0),"")</f>
        <v xml:space="preserve">JOYDEEP DATTA </v>
      </c>
      <c r="AG79">
        <f>-(L79)</f>
        <v>1325</v>
      </c>
      <c r="AH79">
        <v>0</v>
      </c>
    </row>
    <row r="80" spans="1:35" x14ac:dyDescent="0.25">
      <c r="A80" s="37">
        <v>46204</v>
      </c>
      <c r="B80" s="7" t="s">
        <v>156</v>
      </c>
      <c r="C80" s="7" t="s">
        <v>299</v>
      </c>
      <c r="D80" s="7" t="s">
        <v>314</v>
      </c>
      <c r="E80" s="7" t="s">
        <v>96</v>
      </c>
      <c r="F80" s="8">
        <v>46232</v>
      </c>
      <c r="G80" s="7">
        <v>1</v>
      </c>
      <c r="H80" s="7" t="s">
        <v>53</v>
      </c>
      <c r="I80" s="7" t="s">
        <v>104</v>
      </c>
      <c r="J80" s="7" t="s">
        <v>251</v>
      </c>
      <c r="K80" s="7">
        <v>44500</v>
      </c>
      <c r="L80" s="7">
        <v>-8900</v>
      </c>
      <c r="M80" s="7">
        <v>0</v>
      </c>
      <c r="N80" s="7">
        <v>33904.76</v>
      </c>
      <c r="O80" s="7">
        <v>5</v>
      </c>
      <c r="P80" s="7">
        <v>1695.24</v>
      </c>
      <c r="Q80" s="7">
        <v>35600</v>
      </c>
      <c r="R80" s="7" t="s">
        <v>106</v>
      </c>
      <c r="S80" s="7" t="s">
        <v>315</v>
      </c>
      <c r="T80" s="7" t="s">
        <v>96</v>
      </c>
      <c r="U80" s="7" t="s">
        <v>316</v>
      </c>
      <c r="V80" s="7" t="s">
        <v>96</v>
      </c>
      <c r="W80" s="7" t="s">
        <v>96</v>
      </c>
      <c r="X80" s="7" t="s">
        <v>109</v>
      </c>
      <c r="Y80" s="7" t="s">
        <v>99</v>
      </c>
      <c r="Z80" s="7" t="s">
        <v>96</v>
      </c>
      <c r="AA80" s="7" t="s">
        <v>317</v>
      </c>
      <c r="AB80" s="7" t="s">
        <v>318</v>
      </c>
      <c r="AC80" s="7" t="s">
        <v>96</v>
      </c>
      <c r="AD80" s="40" t="s">
        <v>813</v>
      </c>
      <c r="AE80" t="str">
        <f>IFERROR(VLOOKUP($B80,Sheet3!B:D,3,0),"")</f>
        <v>SILIGURI</v>
      </c>
      <c r="AF80" t="str">
        <f>IFERROR(VLOOKUP($B80,Sheet3!B:H,7,0),"")</f>
        <v xml:space="preserve">JOYDEEP DATTA </v>
      </c>
      <c r="AG80">
        <f>-(L80)</f>
        <v>8900</v>
      </c>
      <c r="AH80">
        <f t="shared" si="10"/>
        <v>8900</v>
      </c>
      <c r="AI80">
        <f>G80*500</f>
        <v>500</v>
      </c>
    </row>
    <row r="81" spans="1:35" x14ac:dyDescent="0.25">
      <c r="A81" s="37">
        <v>46204</v>
      </c>
      <c r="B81" s="7" t="s">
        <v>156</v>
      </c>
      <c r="C81" s="7" t="s">
        <v>299</v>
      </c>
      <c r="D81" s="7" t="s">
        <v>314</v>
      </c>
      <c r="E81" s="7" t="s">
        <v>96</v>
      </c>
      <c r="F81" s="8">
        <v>46232</v>
      </c>
      <c r="G81" s="7">
        <v>1</v>
      </c>
      <c r="H81" s="7" t="s">
        <v>770</v>
      </c>
      <c r="I81" s="7" t="s">
        <v>749</v>
      </c>
      <c r="J81" s="7" t="s">
        <v>771</v>
      </c>
      <c r="K81" s="7">
        <v>2650</v>
      </c>
      <c r="L81" s="7">
        <v>0</v>
      </c>
      <c r="M81" s="7">
        <v>0</v>
      </c>
      <c r="N81" s="7">
        <v>2523.8000000000002</v>
      </c>
      <c r="O81" s="7">
        <v>5</v>
      </c>
      <c r="P81" s="7">
        <v>126.2</v>
      </c>
      <c r="Q81" s="7">
        <v>2650</v>
      </c>
      <c r="R81" s="7" t="s">
        <v>106</v>
      </c>
      <c r="S81" s="7" t="s">
        <v>315</v>
      </c>
      <c r="T81" s="7" t="s">
        <v>96</v>
      </c>
      <c r="U81" s="7" t="s">
        <v>316</v>
      </c>
      <c r="V81" s="7" t="s">
        <v>740</v>
      </c>
      <c r="W81" s="7" t="s">
        <v>96</v>
      </c>
      <c r="X81" s="7" t="s">
        <v>752</v>
      </c>
      <c r="Y81" s="7" t="s">
        <v>99</v>
      </c>
      <c r="Z81" s="7" t="s">
        <v>96</v>
      </c>
      <c r="AA81" s="7" t="s">
        <v>317</v>
      </c>
      <c r="AB81" s="7" t="s">
        <v>318</v>
      </c>
      <c r="AC81" s="7" t="s">
        <v>96</v>
      </c>
      <c r="AD81" s="38" t="s">
        <v>736</v>
      </c>
      <c r="AE81" t="str">
        <f>IFERROR(VLOOKUP($B81,Sheet3!B:D,3,0),"")</f>
        <v>SILIGURI</v>
      </c>
      <c r="AF81" t="str">
        <f>IFERROR(VLOOKUP($B81,Sheet3!B:H,7,0),"")</f>
        <v xml:space="preserve">JOYDEEP DATTA </v>
      </c>
      <c r="AG81">
        <f>-(L81)</f>
        <v>0</v>
      </c>
      <c r="AH81">
        <v>0</v>
      </c>
    </row>
    <row r="82" spans="1:35" x14ac:dyDescent="0.25">
      <c r="A82" s="37">
        <v>46204</v>
      </c>
      <c r="B82" s="7" t="s">
        <v>156</v>
      </c>
      <c r="C82" s="7" t="s">
        <v>299</v>
      </c>
      <c r="D82" s="7" t="s">
        <v>314</v>
      </c>
      <c r="E82" s="7" t="s">
        <v>96</v>
      </c>
      <c r="F82" s="8">
        <v>46232</v>
      </c>
      <c r="G82" s="7">
        <v>1</v>
      </c>
      <c r="H82" s="7" t="s">
        <v>770</v>
      </c>
      <c r="I82" s="7" t="s">
        <v>749</v>
      </c>
      <c r="J82" s="7" t="s">
        <v>771</v>
      </c>
      <c r="K82" s="7">
        <v>2650</v>
      </c>
      <c r="L82" s="7">
        <v>0</v>
      </c>
      <c r="M82" s="7">
        <v>0</v>
      </c>
      <c r="N82" s="7">
        <v>2523.8000000000002</v>
      </c>
      <c r="O82" s="7">
        <v>5</v>
      </c>
      <c r="P82" s="7">
        <v>126.2</v>
      </c>
      <c r="Q82" s="7">
        <v>2650</v>
      </c>
      <c r="R82" s="7" t="s">
        <v>106</v>
      </c>
      <c r="S82" s="7" t="s">
        <v>315</v>
      </c>
      <c r="T82" s="7" t="s">
        <v>324</v>
      </c>
      <c r="U82" s="7" t="s">
        <v>316</v>
      </c>
      <c r="V82" s="7" t="s">
        <v>740</v>
      </c>
      <c r="W82" s="7" t="s">
        <v>96</v>
      </c>
      <c r="X82" s="7" t="s">
        <v>752</v>
      </c>
      <c r="Y82" s="7" t="s">
        <v>99</v>
      </c>
      <c r="Z82" s="7" t="s">
        <v>96</v>
      </c>
      <c r="AA82" s="7" t="s">
        <v>317</v>
      </c>
      <c r="AB82" s="7" t="s">
        <v>318</v>
      </c>
      <c r="AC82" s="7" t="s">
        <v>96</v>
      </c>
      <c r="AD82" s="38" t="s">
        <v>736</v>
      </c>
      <c r="AE82" t="str">
        <f>IFERROR(VLOOKUP($B82,Sheet3!B:D,3,0),"")</f>
        <v>SILIGURI</v>
      </c>
      <c r="AF82" t="str">
        <f>IFERROR(VLOOKUP($B82,Sheet3!B:H,7,0),"")</f>
        <v xml:space="preserve">JOYDEEP DATTA </v>
      </c>
      <c r="AG82">
        <f>-(L82)</f>
        <v>0</v>
      </c>
      <c r="AH82">
        <v>0</v>
      </c>
    </row>
    <row r="83" spans="1:35" x14ac:dyDescent="0.25">
      <c r="A83" s="37">
        <v>46204</v>
      </c>
      <c r="B83" s="7" t="s">
        <v>117</v>
      </c>
      <c r="C83" s="7" t="s">
        <v>118</v>
      </c>
      <c r="D83" s="7" t="s">
        <v>321</v>
      </c>
      <c r="E83" s="7" t="s">
        <v>96</v>
      </c>
      <c r="F83" s="8">
        <v>46233</v>
      </c>
      <c r="G83" s="7">
        <v>1</v>
      </c>
      <c r="H83" s="7" t="s">
        <v>40</v>
      </c>
      <c r="I83" s="7" t="s">
        <v>104</v>
      </c>
      <c r="J83" s="7" t="s">
        <v>322</v>
      </c>
      <c r="K83" s="7">
        <v>39500</v>
      </c>
      <c r="L83" s="7">
        <v>-7900</v>
      </c>
      <c r="M83" s="7">
        <v>0</v>
      </c>
      <c r="N83" s="7">
        <v>30095.24</v>
      </c>
      <c r="O83" s="7">
        <v>5</v>
      </c>
      <c r="P83" s="7">
        <v>1504.76</v>
      </c>
      <c r="Q83" s="7">
        <v>31600</v>
      </c>
      <c r="R83" s="7" t="s">
        <v>106</v>
      </c>
      <c r="S83" s="7" t="s">
        <v>323</v>
      </c>
      <c r="T83" s="7" t="s">
        <v>324</v>
      </c>
      <c r="U83" s="7" t="s">
        <v>195</v>
      </c>
      <c r="V83" s="7" t="s">
        <v>96</v>
      </c>
      <c r="W83" s="7" t="s">
        <v>96</v>
      </c>
      <c r="X83" s="7" t="s">
        <v>109</v>
      </c>
      <c r="Y83" s="7" t="s">
        <v>99</v>
      </c>
      <c r="Z83" s="7" t="s">
        <v>96</v>
      </c>
      <c r="AA83" s="7" t="s">
        <v>325</v>
      </c>
      <c r="AB83" s="7" t="s">
        <v>326</v>
      </c>
      <c r="AC83" s="7" t="s">
        <v>96</v>
      </c>
      <c r="AD83" s="40" t="s">
        <v>813</v>
      </c>
      <c r="AE83" t="str">
        <f>IFERROR(VLOOKUP($B83,Sheet3!B:D,3,0),"")</f>
        <v>BENGALURU</v>
      </c>
      <c r="AF83" t="str">
        <f>IFERROR(VLOOKUP($B83,Sheet3!B:H,7,0),"")</f>
        <v>D. N.CHOWDHURY</v>
      </c>
      <c r="AG83">
        <f>-(L83)</f>
        <v>7900</v>
      </c>
      <c r="AH83">
        <f t="shared" si="10"/>
        <v>7900</v>
      </c>
      <c r="AI83">
        <f>G83*500</f>
        <v>500</v>
      </c>
    </row>
    <row r="84" spans="1:35" x14ac:dyDescent="0.25">
      <c r="A84" s="37">
        <v>46204</v>
      </c>
      <c r="B84" s="7" t="s">
        <v>117</v>
      </c>
      <c r="C84" s="7" t="s">
        <v>118</v>
      </c>
      <c r="D84" s="7" t="s">
        <v>321</v>
      </c>
      <c r="E84" s="7" t="s">
        <v>96</v>
      </c>
      <c r="F84" s="8">
        <v>46233</v>
      </c>
      <c r="G84" s="7">
        <v>1</v>
      </c>
      <c r="H84" s="7" t="s">
        <v>788</v>
      </c>
      <c r="I84" s="7" t="s">
        <v>789</v>
      </c>
      <c r="J84" s="7" t="s">
        <v>790</v>
      </c>
      <c r="K84" s="7">
        <v>5600</v>
      </c>
      <c r="L84" s="7">
        <v>0</v>
      </c>
      <c r="M84" s="7">
        <v>0</v>
      </c>
      <c r="N84" s="7">
        <v>5333.34</v>
      </c>
      <c r="O84" s="7">
        <v>5</v>
      </c>
      <c r="P84" s="7">
        <v>266.66000000000003</v>
      </c>
      <c r="Q84" s="7">
        <v>5600</v>
      </c>
      <c r="R84" s="7" t="s">
        <v>106</v>
      </c>
      <c r="S84" s="7" t="s">
        <v>323</v>
      </c>
      <c r="T84" s="7" t="s">
        <v>96</v>
      </c>
      <c r="U84" s="7" t="s">
        <v>195</v>
      </c>
      <c r="V84" s="7" t="s">
        <v>740</v>
      </c>
      <c r="W84" s="7" t="s">
        <v>96</v>
      </c>
      <c r="X84" s="7" t="s">
        <v>741</v>
      </c>
      <c r="Y84" s="7" t="s">
        <v>99</v>
      </c>
      <c r="Z84" s="7" t="s">
        <v>96</v>
      </c>
      <c r="AA84" s="7" t="s">
        <v>325</v>
      </c>
      <c r="AB84" s="7" t="s">
        <v>326</v>
      </c>
      <c r="AC84" s="7" t="s">
        <v>96</v>
      </c>
      <c r="AD84" s="38" t="s">
        <v>736</v>
      </c>
      <c r="AE84" t="str">
        <f>IFERROR(VLOOKUP($B84,Sheet3!B:D,3,0),"")</f>
        <v>BENGALURU</v>
      </c>
      <c r="AF84" t="str">
        <f>IFERROR(VLOOKUP($B84,Sheet3!B:H,7,0),"")</f>
        <v>D. N.CHOWDHURY</v>
      </c>
      <c r="AG84">
        <f>-(L84)</f>
        <v>0</v>
      </c>
      <c r="AH84">
        <v>0</v>
      </c>
    </row>
    <row r="85" spans="1:35" x14ac:dyDescent="0.25">
      <c r="A85" s="37">
        <v>46204</v>
      </c>
      <c r="B85" s="7" t="s">
        <v>117</v>
      </c>
      <c r="C85" s="7" t="s">
        <v>118</v>
      </c>
      <c r="D85" s="7" t="s">
        <v>321</v>
      </c>
      <c r="E85" s="7" t="s">
        <v>96</v>
      </c>
      <c r="F85" s="8">
        <v>46233</v>
      </c>
      <c r="G85" s="7">
        <v>1</v>
      </c>
      <c r="H85" s="7" t="s">
        <v>788</v>
      </c>
      <c r="I85" s="7" t="s">
        <v>789</v>
      </c>
      <c r="J85" s="7" t="s">
        <v>790</v>
      </c>
      <c r="K85" s="7">
        <v>5600</v>
      </c>
      <c r="L85" s="7">
        <v>0</v>
      </c>
      <c r="M85" s="7">
        <v>0</v>
      </c>
      <c r="N85" s="7">
        <v>5333.34</v>
      </c>
      <c r="O85" s="7">
        <v>5</v>
      </c>
      <c r="P85" s="7">
        <v>266.66000000000003</v>
      </c>
      <c r="Q85" s="7">
        <v>5600</v>
      </c>
      <c r="R85" s="7" t="s">
        <v>106</v>
      </c>
      <c r="S85" s="7" t="s">
        <v>323</v>
      </c>
      <c r="T85" s="7" t="s">
        <v>96</v>
      </c>
      <c r="U85" s="7" t="s">
        <v>195</v>
      </c>
      <c r="V85" s="7" t="s">
        <v>740</v>
      </c>
      <c r="W85" s="7" t="s">
        <v>96</v>
      </c>
      <c r="X85" s="7" t="s">
        <v>741</v>
      </c>
      <c r="Y85" s="7" t="s">
        <v>99</v>
      </c>
      <c r="Z85" s="7" t="s">
        <v>96</v>
      </c>
      <c r="AA85" s="7" t="s">
        <v>325</v>
      </c>
      <c r="AB85" s="7" t="s">
        <v>326</v>
      </c>
      <c r="AC85" s="7" t="s">
        <v>96</v>
      </c>
      <c r="AD85" s="38" t="s">
        <v>736</v>
      </c>
      <c r="AE85" t="str">
        <f>IFERROR(VLOOKUP($B85,Sheet3!B:D,3,0),"")</f>
        <v>BENGALURU</v>
      </c>
      <c r="AF85" t="str">
        <f>IFERROR(VLOOKUP($B85,Sheet3!B:H,7,0),"")</f>
        <v>D. N.CHOWDHURY</v>
      </c>
      <c r="AG85">
        <f>-(L85)</f>
        <v>0</v>
      </c>
      <c r="AH85">
        <v>0</v>
      </c>
    </row>
    <row r="86" spans="1:35" x14ac:dyDescent="0.25">
      <c r="A86" s="37">
        <v>46235</v>
      </c>
      <c r="B86" s="7" t="s">
        <v>11</v>
      </c>
      <c r="C86" s="7" t="s">
        <v>229</v>
      </c>
      <c r="D86" s="7" t="s">
        <v>833</v>
      </c>
      <c r="E86" s="7" t="s">
        <v>96</v>
      </c>
      <c r="F86" s="8">
        <v>46240</v>
      </c>
      <c r="G86" s="7">
        <v>-1</v>
      </c>
      <c r="H86" s="7" t="s">
        <v>62</v>
      </c>
      <c r="I86" s="7" t="s">
        <v>92</v>
      </c>
      <c r="J86" s="7" t="s">
        <v>231</v>
      </c>
      <c r="K86" s="7">
        <v>34500</v>
      </c>
      <c r="L86" s="7">
        <v>0</v>
      </c>
      <c r="M86" s="7">
        <v>0</v>
      </c>
      <c r="N86" s="7">
        <v>-29237.279999999999</v>
      </c>
      <c r="O86" s="7">
        <v>18</v>
      </c>
      <c r="P86" s="7">
        <v>-5262.72</v>
      </c>
      <c r="Q86" s="7">
        <v>-34500</v>
      </c>
      <c r="R86" s="7" t="s">
        <v>94</v>
      </c>
      <c r="S86" s="7" t="s">
        <v>232</v>
      </c>
      <c r="T86" s="7" t="s">
        <v>96</v>
      </c>
      <c r="U86" s="7" t="s">
        <v>233</v>
      </c>
      <c r="V86" s="7" t="s">
        <v>96</v>
      </c>
      <c r="W86" s="7" t="s">
        <v>96</v>
      </c>
      <c r="X86" s="7" t="s">
        <v>98</v>
      </c>
      <c r="Y86" s="7" t="s">
        <v>99</v>
      </c>
      <c r="Z86" s="7" t="s">
        <v>96</v>
      </c>
      <c r="AA86" s="7" t="s">
        <v>96</v>
      </c>
      <c r="AB86" s="7" t="s">
        <v>96</v>
      </c>
      <c r="AC86" s="7" t="s">
        <v>96</v>
      </c>
      <c r="AD86" s="40" t="s">
        <v>825</v>
      </c>
      <c r="AE86" t="str">
        <f>IFERROR(VLOOKUP($B86,Sheet3!B:D,3,0),"")</f>
        <v>DEHRADUN</v>
      </c>
      <c r="AF86" t="str">
        <f>IFERROR(VLOOKUP($B86,Sheet3!B:H,7,0),"")</f>
        <v>AMANDEEP SINGH GILL</v>
      </c>
      <c r="AG86">
        <f t="shared" ref="AG86:AH89" si="13">-(L86)</f>
        <v>0</v>
      </c>
      <c r="AH86">
        <f t="shared" si="10"/>
        <v>0</v>
      </c>
      <c r="AI86">
        <f t="shared" ref="AI86:AI89" si="14">G86*500</f>
        <v>-500</v>
      </c>
    </row>
    <row r="87" spans="1:35" x14ac:dyDescent="0.25">
      <c r="A87" s="37">
        <v>46235</v>
      </c>
      <c r="B87" s="7" t="s">
        <v>11</v>
      </c>
      <c r="C87" s="7" t="s">
        <v>229</v>
      </c>
      <c r="D87" s="7" t="s">
        <v>834</v>
      </c>
      <c r="E87" s="7" t="s">
        <v>96</v>
      </c>
      <c r="F87" s="8">
        <v>46240</v>
      </c>
      <c r="G87" s="7">
        <v>-1</v>
      </c>
      <c r="H87" s="7" t="s">
        <v>63</v>
      </c>
      <c r="I87" s="7" t="s">
        <v>92</v>
      </c>
      <c r="J87" s="7" t="s">
        <v>235</v>
      </c>
      <c r="K87" s="7">
        <v>39000</v>
      </c>
      <c r="L87" s="7">
        <v>0</v>
      </c>
      <c r="M87" s="7">
        <v>0</v>
      </c>
      <c r="N87" s="7">
        <v>-33050.839999999997</v>
      </c>
      <c r="O87" s="7">
        <v>18</v>
      </c>
      <c r="P87" s="7">
        <v>-5949.16</v>
      </c>
      <c r="Q87" s="7">
        <v>-39000</v>
      </c>
      <c r="R87" s="7" t="s">
        <v>94</v>
      </c>
      <c r="S87" s="7" t="s">
        <v>236</v>
      </c>
      <c r="T87" s="7" t="s">
        <v>96</v>
      </c>
      <c r="U87" s="7" t="s">
        <v>233</v>
      </c>
      <c r="V87" s="7" t="s">
        <v>96</v>
      </c>
      <c r="W87" s="7" t="s">
        <v>96</v>
      </c>
      <c r="X87" s="7" t="s">
        <v>98</v>
      </c>
      <c r="Y87" s="7" t="s">
        <v>99</v>
      </c>
      <c r="Z87" s="7" t="s">
        <v>96</v>
      </c>
      <c r="AA87" s="7" t="s">
        <v>96</v>
      </c>
      <c r="AB87" s="7" t="s">
        <v>96</v>
      </c>
      <c r="AC87" s="7" t="s">
        <v>96</v>
      </c>
      <c r="AD87" s="40" t="s">
        <v>825</v>
      </c>
      <c r="AE87" t="str">
        <f>IFERROR(VLOOKUP($B87,Sheet3!B:D,3,0),"")</f>
        <v>DEHRADUN</v>
      </c>
      <c r="AF87" t="str">
        <f>IFERROR(VLOOKUP($B87,Sheet3!B:H,7,0),"")</f>
        <v>AMANDEEP SINGH GILL</v>
      </c>
      <c r="AG87">
        <f t="shared" si="13"/>
        <v>0</v>
      </c>
      <c r="AH87">
        <f t="shared" si="10"/>
        <v>0</v>
      </c>
      <c r="AI87">
        <f t="shared" si="14"/>
        <v>-500</v>
      </c>
    </row>
    <row r="88" spans="1:35" x14ac:dyDescent="0.25">
      <c r="A88" s="37">
        <v>46235</v>
      </c>
      <c r="B88" s="7" t="s">
        <v>155</v>
      </c>
      <c r="C88" s="7" t="s">
        <v>835</v>
      </c>
      <c r="D88" s="7" t="s">
        <v>836</v>
      </c>
      <c r="E88" s="7" t="s">
        <v>96</v>
      </c>
      <c r="F88" s="8">
        <v>46242</v>
      </c>
      <c r="G88" s="7">
        <v>1</v>
      </c>
      <c r="H88" s="7" t="s">
        <v>12</v>
      </c>
      <c r="I88" s="7" t="s">
        <v>104</v>
      </c>
      <c r="J88" s="7" t="s">
        <v>272</v>
      </c>
      <c r="K88" s="7">
        <v>39500</v>
      </c>
      <c r="L88" s="7">
        <v>-3950</v>
      </c>
      <c r="M88" s="7">
        <v>0</v>
      </c>
      <c r="N88" s="7">
        <v>33857.14</v>
      </c>
      <c r="O88" s="7">
        <v>5</v>
      </c>
      <c r="P88" s="7">
        <v>1692.86</v>
      </c>
      <c r="Q88" s="7">
        <v>35550</v>
      </c>
      <c r="R88" s="7" t="s">
        <v>106</v>
      </c>
      <c r="S88" s="7" t="s">
        <v>837</v>
      </c>
      <c r="T88" s="7" t="s">
        <v>838</v>
      </c>
      <c r="U88" s="7" t="s">
        <v>839</v>
      </c>
      <c r="V88" s="7" t="s">
        <v>96</v>
      </c>
      <c r="W88" s="7" t="s">
        <v>96</v>
      </c>
      <c r="X88" s="7" t="s">
        <v>109</v>
      </c>
      <c r="Y88" s="7" t="s">
        <v>99</v>
      </c>
      <c r="Z88" s="7" t="s">
        <v>96</v>
      </c>
      <c r="AA88" s="7" t="s">
        <v>840</v>
      </c>
      <c r="AB88" s="7" t="s">
        <v>841</v>
      </c>
      <c r="AC88" s="7" t="s">
        <v>96</v>
      </c>
      <c r="AD88" s="40" t="s">
        <v>813</v>
      </c>
      <c r="AE88" t="str">
        <f>IFERROR(VLOOKUP($B88,Sheet3!B:D,3,0),"")</f>
        <v>VIZAG</v>
      </c>
      <c r="AF88" t="str">
        <f>IFERROR(VLOOKUP($B88,Sheet3!B:H,7,0),"")</f>
        <v>AMANDEEP SINGH GILL</v>
      </c>
      <c r="AG88">
        <f t="shared" si="13"/>
        <v>3950</v>
      </c>
      <c r="AH88">
        <f t="shared" si="10"/>
        <v>3950</v>
      </c>
      <c r="AI88">
        <f t="shared" si="14"/>
        <v>500</v>
      </c>
    </row>
    <row r="89" spans="1:35" x14ac:dyDescent="0.25">
      <c r="A89" s="37">
        <v>46235</v>
      </c>
      <c r="B89" s="7" t="s">
        <v>125</v>
      </c>
      <c r="C89" s="7" t="s">
        <v>126</v>
      </c>
      <c r="D89" s="7" t="s">
        <v>842</v>
      </c>
      <c r="E89" s="7" t="s">
        <v>96</v>
      </c>
      <c r="F89" s="8">
        <v>46252</v>
      </c>
      <c r="G89" s="7">
        <v>1</v>
      </c>
      <c r="H89" s="7" t="s">
        <v>35</v>
      </c>
      <c r="I89" s="7" t="s">
        <v>104</v>
      </c>
      <c r="J89" s="7" t="s">
        <v>216</v>
      </c>
      <c r="K89" s="7">
        <v>32500</v>
      </c>
      <c r="L89" s="7">
        <v>-9750</v>
      </c>
      <c r="M89" s="7">
        <v>0</v>
      </c>
      <c r="N89" s="7">
        <v>21666.66</v>
      </c>
      <c r="O89" s="7">
        <v>5</v>
      </c>
      <c r="P89" s="7">
        <v>1083.3399999999999</v>
      </c>
      <c r="Q89" s="7">
        <v>22750</v>
      </c>
      <c r="R89" s="7" t="s">
        <v>106</v>
      </c>
      <c r="S89" s="7" t="s">
        <v>843</v>
      </c>
      <c r="T89" s="7" t="s">
        <v>96</v>
      </c>
      <c r="U89" s="7" t="s">
        <v>129</v>
      </c>
      <c r="V89" s="7" t="s">
        <v>96</v>
      </c>
      <c r="W89" s="7" t="s">
        <v>96</v>
      </c>
      <c r="X89" s="7" t="s">
        <v>109</v>
      </c>
      <c r="Y89" s="7" t="s">
        <v>99</v>
      </c>
      <c r="Z89" s="7" t="s">
        <v>96</v>
      </c>
      <c r="AA89" s="7" t="s">
        <v>844</v>
      </c>
      <c r="AB89" s="7" t="s">
        <v>845</v>
      </c>
      <c r="AC89" s="7" t="s">
        <v>96</v>
      </c>
      <c r="AD89" s="40" t="s">
        <v>813</v>
      </c>
      <c r="AE89" t="str">
        <f>IFERROR(VLOOKUP($B89,Sheet3!B:D,3,0),"")</f>
        <v>PUDUCHERRY</v>
      </c>
      <c r="AF89" t="str">
        <f>IFERROR(VLOOKUP($B89,Sheet3!B:H,7,0),"")</f>
        <v>D. N.CHOWDHURY</v>
      </c>
      <c r="AG89">
        <f t="shared" si="13"/>
        <v>9750</v>
      </c>
      <c r="AH89">
        <f t="shared" si="10"/>
        <v>9750</v>
      </c>
      <c r="AI89">
        <f t="shared" si="14"/>
        <v>500</v>
      </c>
    </row>
    <row r="90" spans="1:35" x14ac:dyDescent="0.25">
      <c r="A90" s="37">
        <v>46235</v>
      </c>
      <c r="B90" s="7" t="s">
        <v>155</v>
      </c>
      <c r="C90" s="7" t="s">
        <v>835</v>
      </c>
      <c r="D90" s="7" t="s">
        <v>836</v>
      </c>
      <c r="E90" s="7" t="s">
        <v>96</v>
      </c>
      <c r="F90" s="8">
        <v>46242</v>
      </c>
      <c r="G90" s="7">
        <v>1</v>
      </c>
      <c r="H90" s="7" t="s">
        <v>846</v>
      </c>
      <c r="I90" s="7" t="s">
        <v>789</v>
      </c>
      <c r="J90" s="7" t="s">
        <v>848</v>
      </c>
      <c r="K90" s="7">
        <v>3750</v>
      </c>
      <c r="L90" s="7">
        <v>-1875</v>
      </c>
      <c r="M90" s="7">
        <v>0</v>
      </c>
      <c r="N90" s="7">
        <v>1785.72</v>
      </c>
      <c r="O90" s="7">
        <v>5</v>
      </c>
      <c r="P90" s="7">
        <v>89.28</v>
      </c>
      <c r="Q90" s="7">
        <v>1875</v>
      </c>
      <c r="R90" s="7" t="s">
        <v>106</v>
      </c>
      <c r="S90" s="7" t="s">
        <v>837</v>
      </c>
      <c r="T90" s="7" t="s">
        <v>96</v>
      </c>
      <c r="U90" s="7" t="s">
        <v>839</v>
      </c>
      <c r="V90" s="7" t="s">
        <v>751</v>
      </c>
      <c r="W90" s="7" t="s">
        <v>96</v>
      </c>
      <c r="X90" s="7" t="s">
        <v>741</v>
      </c>
      <c r="Y90" s="7" t="s">
        <v>99</v>
      </c>
      <c r="Z90" s="7" t="s">
        <v>96</v>
      </c>
      <c r="AA90" s="7" t="s">
        <v>840</v>
      </c>
      <c r="AB90" s="7" t="s">
        <v>840</v>
      </c>
      <c r="AC90" s="7" t="s">
        <v>841</v>
      </c>
      <c r="AD90" s="38" t="s">
        <v>736</v>
      </c>
      <c r="AE90" t="str">
        <f>IFERROR(VLOOKUP($B90,Sheet3!B:D,3,0),"")</f>
        <v>VIZAG</v>
      </c>
      <c r="AF90" t="str">
        <f>IFERROR(VLOOKUP($B90,Sheet3!B:H,7,0),"")</f>
        <v>AMANDEEP SINGH GILL</v>
      </c>
      <c r="AG90">
        <f t="shared" ref="AG90:AH93" si="15">-(L90)</f>
        <v>1875</v>
      </c>
      <c r="AH90">
        <v>0</v>
      </c>
    </row>
    <row r="91" spans="1:35" x14ac:dyDescent="0.25">
      <c r="A91" s="37">
        <v>46235</v>
      </c>
      <c r="B91" s="7" t="s">
        <v>155</v>
      </c>
      <c r="C91" s="7" t="s">
        <v>835</v>
      </c>
      <c r="D91" s="7" t="s">
        <v>836</v>
      </c>
      <c r="E91" s="7" t="s">
        <v>96</v>
      </c>
      <c r="F91" s="8">
        <v>46242</v>
      </c>
      <c r="G91" s="7">
        <v>1</v>
      </c>
      <c r="H91" s="7" t="s">
        <v>846</v>
      </c>
      <c r="I91" s="7" t="s">
        <v>789</v>
      </c>
      <c r="J91" s="7" t="s">
        <v>848</v>
      </c>
      <c r="K91" s="7">
        <v>3750</v>
      </c>
      <c r="L91" s="7">
        <v>-1875</v>
      </c>
      <c r="M91" s="7">
        <v>0</v>
      </c>
      <c r="N91" s="7">
        <v>1785.72</v>
      </c>
      <c r="O91" s="7">
        <v>5</v>
      </c>
      <c r="P91" s="7">
        <v>89.28</v>
      </c>
      <c r="Q91" s="7">
        <v>1875</v>
      </c>
      <c r="R91" s="7" t="s">
        <v>106</v>
      </c>
      <c r="S91" s="7" t="s">
        <v>837</v>
      </c>
      <c r="T91" s="7" t="s">
        <v>838</v>
      </c>
      <c r="U91" s="7" t="s">
        <v>839</v>
      </c>
      <c r="V91" s="7" t="s">
        <v>751</v>
      </c>
      <c r="W91" s="7" t="s">
        <v>96</v>
      </c>
      <c r="X91" s="7" t="s">
        <v>741</v>
      </c>
      <c r="Y91" s="7" t="s">
        <v>99</v>
      </c>
      <c r="Z91" s="7" t="s">
        <v>96</v>
      </c>
      <c r="AA91" s="7" t="s">
        <v>840</v>
      </c>
      <c r="AB91" s="7" t="s">
        <v>840</v>
      </c>
      <c r="AC91" s="7" t="s">
        <v>841</v>
      </c>
      <c r="AD91" s="38" t="s">
        <v>736</v>
      </c>
      <c r="AE91" t="str">
        <f>IFERROR(VLOOKUP($B91,Sheet3!B:D,3,0),"")</f>
        <v>VIZAG</v>
      </c>
      <c r="AF91" t="str">
        <f>IFERROR(VLOOKUP($B91,Sheet3!B:H,7,0),"")</f>
        <v>AMANDEEP SINGH GILL</v>
      </c>
      <c r="AG91">
        <f t="shared" si="15"/>
        <v>1875</v>
      </c>
      <c r="AH91">
        <v>0</v>
      </c>
    </row>
    <row r="92" spans="1:35" x14ac:dyDescent="0.25">
      <c r="A92" s="37">
        <v>46235</v>
      </c>
      <c r="B92" s="7" t="s">
        <v>125</v>
      </c>
      <c r="C92" s="7" t="s">
        <v>126</v>
      </c>
      <c r="D92" s="7" t="s">
        <v>842</v>
      </c>
      <c r="E92" s="7" t="s">
        <v>96</v>
      </c>
      <c r="F92" s="8">
        <v>46252</v>
      </c>
      <c r="G92" s="7">
        <v>1</v>
      </c>
      <c r="H92" s="7" t="s">
        <v>847</v>
      </c>
      <c r="I92" s="7" t="s">
        <v>849</v>
      </c>
      <c r="J92" s="7" t="s">
        <v>850</v>
      </c>
      <c r="K92" s="7">
        <v>3544</v>
      </c>
      <c r="L92" s="7">
        <v>0</v>
      </c>
      <c r="M92" s="7">
        <v>0</v>
      </c>
      <c r="N92" s="7">
        <v>3375.24</v>
      </c>
      <c r="O92" s="7">
        <v>5</v>
      </c>
      <c r="P92" s="7">
        <v>168.76</v>
      </c>
      <c r="Q92" s="7">
        <v>3544</v>
      </c>
      <c r="R92" s="7" t="s">
        <v>106</v>
      </c>
      <c r="S92" s="7" t="s">
        <v>843</v>
      </c>
      <c r="T92" s="7" t="s">
        <v>96</v>
      </c>
      <c r="U92" s="7" t="s">
        <v>129</v>
      </c>
      <c r="V92" s="7" t="s">
        <v>851</v>
      </c>
      <c r="W92" s="7" t="s">
        <v>96</v>
      </c>
      <c r="X92" s="7" t="s">
        <v>765</v>
      </c>
      <c r="Y92" s="7" t="s">
        <v>99</v>
      </c>
      <c r="Z92" s="7" t="s">
        <v>96</v>
      </c>
      <c r="AA92" s="7" t="s">
        <v>844</v>
      </c>
      <c r="AB92" s="7" t="s">
        <v>844</v>
      </c>
      <c r="AC92" s="7" t="s">
        <v>845</v>
      </c>
      <c r="AD92" s="38" t="s">
        <v>736</v>
      </c>
      <c r="AE92" t="str">
        <f>IFERROR(VLOOKUP($B92,Sheet3!B:D,3,0),"")</f>
        <v>PUDUCHERRY</v>
      </c>
      <c r="AF92" t="str">
        <f>IFERROR(VLOOKUP($B92,Sheet3!B:H,7,0),"")</f>
        <v>D. N.CHOWDHURY</v>
      </c>
      <c r="AG92">
        <f t="shared" si="15"/>
        <v>0</v>
      </c>
      <c r="AH92">
        <v>0</v>
      </c>
    </row>
    <row r="93" spans="1:35" x14ac:dyDescent="0.25">
      <c r="A93" s="37">
        <v>46235</v>
      </c>
      <c r="B93" s="7" t="s">
        <v>125</v>
      </c>
      <c r="C93" s="7" t="s">
        <v>126</v>
      </c>
      <c r="D93" s="7" t="s">
        <v>842</v>
      </c>
      <c r="E93" s="7" t="s">
        <v>96</v>
      </c>
      <c r="F93" s="8">
        <v>46252</v>
      </c>
      <c r="G93" s="7">
        <v>1</v>
      </c>
      <c r="H93" s="7" t="s">
        <v>847</v>
      </c>
      <c r="I93" s="7" t="s">
        <v>849</v>
      </c>
      <c r="J93" s="7" t="s">
        <v>850</v>
      </c>
      <c r="K93" s="7">
        <v>3544</v>
      </c>
      <c r="L93" s="7">
        <v>0</v>
      </c>
      <c r="M93" s="7">
        <v>0</v>
      </c>
      <c r="N93" s="7">
        <v>3375.24</v>
      </c>
      <c r="O93" s="7">
        <v>5</v>
      </c>
      <c r="P93" s="7">
        <v>168.76</v>
      </c>
      <c r="Q93" s="7">
        <v>3544</v>
      </c>
      <c r="R93" s="7" t="s">
        <v>106</v>
      </c>
      <c r="S93" s="7" t="s">
        <v>843</v>
      </c>
      <c r="T93" s="7" t="s">
        <v>324</v>
      </c>
      <c r="U93" s="7" t="s">
        <v>129</v>
      </c>
      <c r="V93" s="7" t="s">
        <v>851</v>
      </c>
      <c r="W93" s="7" t="s">
        <v>96</v>
      </c>
      <c r="X93" s="7" t="s">
        <v>765</v>
      </c>
      <c r="Y93" s="7" t="s">
        <v>99</v>
      </c>
      <c r="Z93" s="7" t="s">
        <v>96</v>
      </c>
      <c r="AA93" s="7" t="s">
        <v>844</v>
      </c>
      <c r="AB93" s="7" t="s">
        <v>844</v>
      </c>
      <c r="AC93" s="7" t="s">
        <v>845</v>
      </c>
      <c r="AD93" s="38" t="s">
        <v>736</v>
      </c>
      <c r="AE93" t="str">
        <f>IFERROR(VLOOKUP($B93,Sheet3!B:D,3,0),"")</f>
        <v>PUDUCHERRY</v>
      </c>
      <c r="AF93" t="str">
        <f>IFERROR(VLOOKUP($B93,Sheet3!B:H,7,0),"")</f>
        <v>D. N.CHOWDHURY</v>
      </c>
      <c r="AG93">
        <f t="shared" si="15"/>
        <v>0</v>
      </c>
      <c r="AH93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BA9E61-7EFB-41E7-A3DB-045388AF6E81}">
  <dimension ref="A1:B36"/>
  <sheetViews>
    <sheetView workbookViewId="0">
      <pane xSplit="1" ySplit="3" topLeftCell="B4" activePane="bottomRight" state="frozen"/>
      <selection pane="topRight" activeCell="B1" sqref="B1"/>
      <selection pane="bottomLeft" activeCell="A4" sqref="A4"/>
      <selection pane="bottomRight" activeCell="A4" sqref="A4"/>
    </sheetView>
  </sheetViews>
  <sheetFormatPr defaultRowHeight="15" x14ac:dyDescent="0.25"/>
  <cols>
    <col min="1" max="1" width="12.28515625" customWidth="1"/>
    <col min="2" max="2" width="17" customWidth="1"/>
  </cols>
  <sheetData>
    <row r="1" spans="1:2" x14ac:dyDescent="0.25">
      <c r="A1" s="1" t="s">
        <v>13</v>
      </c>
    </row>
    <row r="3" spans="1:2" ht="15.75" thickBot="1" x14ac:dyDescent="0.3">
      <c r="A3" s="2" t="s">
        <v>5</v>
      </c>
      <c r="B3" s="3" t="s">
        <v>14</v>
      </c>
    </row>
    <row r="4" spans="1:2" ht="15.75" thickBot="1" x14ac:dyDescent="0.3">
      <c r="A4" s="4" t="s">
        <v>15</v>
      </c>
      <c r="B4" s="5" t="s">
        <v>16</v>
      </c>
    </row>
    <row r="5" spans="1:2" ht="15.75" thickBot="1" x14ac:dyDescent="0.3">
      <c r="A5" s="4" t="s">
        <v>17</v>
      </c>
      <c r="B5" s="5" t="s">
        <v>18</v>
      </c>
    </row>
    <row r="6" spans="1:2" ht="15.75" thickBot="1" x14ac:dyDescent="0.3">
      <c r="A6" s="4" t="s">
        <v>19</v>
      </c>
      <c r="B6" s="5" t="s">
        <v>18</v>
      </c>
    </row>
    <row r="7" spans="1:2" ht="15.75" thickBot="1" x14ac:dyDescent="0.3">
      <c r="A7" s="4" t="s">
        <v>20</v>
      </c>
      <c r="B7" s="5" t="s">
        <v>21</v>
      </c>
    </row>
    <row r="8" spans="1:2" ht="15.75" thickBot="1" x14ac:dyDescent="0.3">
      <c r="A8" s="4" t="s">
        <v>22</v>
      </c>
      <c r="B8" s="5" t="s">
        <v>23</v>
      </c>
    </row>
    <row r="9" spans="1:2" ht="15.75" thickBot="1" x14ac:dyDescent="0.3">
      <c r="A9" s="4" t="s">
        <v>24</v>
      </c>
      <c r="B9" s="5" t="s">
        <v>25</v>
      </c>
    </row>
    <row r="10" spans="1:2" ht="15.75" thickBot="1" x14ac:dyDescent="0.3">
      <c r="A10" s="4" t="s">
        <v>26</v>
      </c>
      <c r="B10" s="5" t="s">
        <v>27</v>
      </c>
    </row>
    <row r="11" spans="1:2" ht="15.75" thickBot="1" x14ac:dyDescent="0.3">
      <c r="A11" s="4" t="s">
        <v>9</v>
      </c>
      <c r="B11" s="5" t="s">
        <v>27</v>
      </c>
    </row>
    <row r="12" spans="1:2" ht="15.75" thickBot="1" x14ac:dyDescent="0.3">
      <c r="A12" s="4" t="s">
        <v>10</v>
      </c>
      <c r="B12" s="5" t="s">
        <v>28</v>
      </c>
    </row>
    <row r="13" spans="1:2" ht="15.75" thickBot="1" x14ac:dyDescent="0.3">
      <c r="A13" s="4" t="s">
        <v>29</v>
      </c>
      <c r="B13" s="5" t="s">
        <v>28</v>
      </c>
    </row>
    <row r="14" spans="1:2" ht="15.75" thickBot="1" x14ac:dyDescent="0.3">
      <c r="A14" s="4" t="s">
        <v>30</v>
      </c>
      <c r="B14" s="5" t="s">
        <v>31</v>
      </c>
    </row>
    <row r="15" spans="1:2" ht="15.75" thickBot="1" x14ac:dyDescent="0.3">
      <c r="A15" s="4" t="s">
        <v>32</v>
      </c>
      <c r="B15" s="5" t="s">
        <v>28</v>
      </c>
    </row>
    <row r="16" spans="1:2" ht="15.75" thickBot="1" x14ac:dyDescent="0.3">
      <c r="A16" s="4" t="s">
        <v>33</v>
      </c>
      <c r="B16" s="5" t="s">
        <v>34</v>
      </c>
    </row>
    <row r="17" spans="1:2" ht="15.75" thickBot="1" x14ac:dyDescent="0.3">
      <c r="A17" s="4" t="s">
        <v>35</v>
      </c>
      <c r="B17" s="5" t="s">
        <v>36</v>
      </c>
    </row>
    <row r="18" spans="1:2" ht="15.75" thickBot="1" x14ac:dyDescent="0.3">
      <c r="A18" s="4" t="s">
        <v>37</v>
      </c>
      <c r="B18" s="5" t="s">
        <v>38</v>
      </c>
    </row>
    <row r="19" spans="1:2" ht="15.75" thickBot="1" x14ac:dyDescent="0.3">
      <c r="A19" s="4" t="s">
        <v>39</v>
      </c>
      <c r="B19" s="5" t="s">
        <v>38</v>
      </c>
    </row>
    <row r="20" spans="1:2" ht="15.75" thickBot="1" x14ac:dyDescent="0.3">
      <c r="A20" s="4" t="s">
        <v>40</v>
      </c>
      <c r="B20" s="5" t="s">
        <v>41</v>
      </c>
    </row>
    <row r="21" spans="1:2" ht="15.75" thickBot="1" x14ac:dyDescent="0.3">
      <c r="A21" s="4" t="s">
        <v>42</v>
      </c>
      <c r="B21" s="5" t="s">
        <v>41</v>
      </c>
    </row>
    <row r="22" spans="1:2" ht="15.75" thickBot="1" x14ac:dyDescent="0.3">
      <c r="A22" s="4" t="s">
        <v>12</v>
      </c>
      <c r="B22" s="5" t="s">
        <v>43</v>
      </c>
    </row>
    <row r="23" spans="1:2" ht="15.75" thickBot="1" x14ac:dyDescent="0.3">
      <c r="A23" s="4" t="s">
        <v>44</v>
      </c>
      <c r="B23" s="5" t="s">
        <v>43</v>
      </c>
    </row>
    <row r="24" spans="1:2" ht="15.75" thickBot="1" x14ac:dyDescent="0.3">
      <c r="A24" s="4" t="s">
        <v>45</v>
      </c>
      <c r="B24" s="5" t="s">
        <v>46</v>
      </c>
    </row>
    <row r="25" spans="1:2" ht="15.75" thickBot="1" x14ac:dyDescent="0.3">
      <c r="A25" s="4" t="s">
        <v>47</v>
      </c>
      <c r="B25" s="5" t="s">
        <v>48</v>
      </c>
    </row>
    <row r="26" spans="1:2" ht="15.75" thickBot="1" x14ac:dyDescent="0.3">
      <c r="A26" s="4" t="s">
        <v>49</v>
      </c>
      <c r="B26" s="5" t="s">
        <v>50</v>
      </c>
    </row>
    <row r="27" spans="1:2" ht="15.75" thickBot="1" x14ac:dyDescent="0.3">
      <c r="A27" s="4" t="s">
        <v>51</v>
      </c>
      <c r="B27" s="5" t="s">
        <v>52</v>
      </c>
    </row>
    <row r="28" spans="1:2" ht="15.75" thickBot="1" x14ac:dyDescent="0.3">
      <c r="A28" s="4" t="s">
        <v>53</v>
      </c>
      <c r="B28" s="5" t="s">
        <v>54</v>
      </c>
    </row>
    <row r="29" spans="1:2" ht="15.75" thickBot="1" x14ac:dyDescent="0.3">
      <c r="A29" s="4" t="s">
        <v>55</v>
      </c>
      <c r="B29" s="5" t="s">
        <v>54</v>
      </c>
    </row>
    <row r="30" spans="1:2" ht="15.75" thickBot="1" x14ac:dyDescent="0.3">
      <c r="A30" s="4" t="s">
        <v>7</v>
      </c>
      <c r="B30" s="5" t="s">
        <v>31</v>
      </c>
    </row>
    <row r="31" spans="1:2" ht="15.75" thickBot="1" x14ac:dyDescent="0.3">
      <c r="A31" s="4" t="s">
        <v>56</v>
      </c>
      <c r="B31" s="5" t="s">
        <v>57</v>
      </c>
    </row>
    <row r="32" spans="1:2" ht="15.75" thickBot="1" x14ac:dyDescent="0.3">
      <c r="A32" s="4" t="s">
        <v>58</v>
      </c>
      <c r="B32" s="5" t="s">
        <v>59</v>
      </c>
    </row>
    <row r="33" spans="1:2" ht="15.75" thickBot="1" x14ac:dyDescent="0.3">
      <c r="A33" s="4" t="s">
        <v>60</v>
      </c>
      <c r="B33" s="5" t="s">
        <v>59</v>
      </c>
    </row>
    <row r="34" spans="1:2" ht="15.75" thickBot="1" x14ac:dyDescent="0.3">
      <c r="A34" s="4" t="s">
        <v>61</v>
      </c>
      <c r="B34" s="5" t="s">
        <v>16</v>
      </c>
    </row>
    <row r="35" spans="1:2" ht="15.75" thickBot="1" x14ac:dyDescent="0.3">
      <c r="A35" s="4" t="s">
        <v>62</v>
      </c>
      <c r="B35" s="5" t="s">
        <v>16</v>
      </c>
    </row>
    <row r="36" spans="1:2" ht="15.75" thickBot="1" x14ac:dyDescent="0.3">
      <c r="A36" s="4" t="s">
        <v>63</v>
      </c>
      <c r="B36" s="5" t="s">
        <v>16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5F588F-D143-43AF-9CB2-CC5D00683BD0}">
  <dimension ref="A1:I114"/>
  <sheetViews>
    <sheetView topLeftCell="D1" workbookViewId="0">
      <selection activeCell="I1" sqref="I1"/>
    </sheetView>
  </sheetViews>
  <sheetFormatPr defaultRowHeight="15" x14ac:dyDescent="0.25"/>
  <cols>
    <col min="1" max="1" width="7.42578125" style="16" customWidth="1"/>
    <col min="2" max="2" width="13.5703125" style="18" customWidth="1"/>
    <col min="3" max="3" width="36.28515625" style="16" bestFit="1" customWidth="1"/>
    <col min="4" max="4" width="16.28515625" style="18" bestFit="1" customWidth="1"/>
    <col min="5" max="5" width="18.85546875" style="16" customWidth="1"/>
    <col min="6" max="6" width="15.85546875" style="18" customWidth="1"/>
    <col min="7" max="7" width="35.85546875" style="16" customWidth="1"/>
    <col min="8" max="8" width="27.85546875" style="17" customWidth="1"/>
    <col min="9" max="9" width="31" style="18" customWidth="1"/>
    <col min="10" max="241" width="9.140625" style="17"/>
    <col min="242" max="242" width="7.42578125" style="17" customWidth="1"/>
    <col min="243" max="243" width="13.5703125" style="17" customWidth="1"/>
    <col min="244" max="244" width="36.28515625" style="17" bestFit="1" customWidth="1"/>
    <col min="245" max="245" width="16.28515625" style="17" bestFit="1" customWidth="1"/>
    <col min="246" max="246" width="18.85546875" style="17" customWidth="1"/>
    <col min="247" max="247" width="1" style="17" customWidth="1"/>
    <col min="248" max="248" width="15.85546875" style="17" customWidth="1"/>
    <col min="249" max="249" width="22.5703125" style="17" customWidth="1"/>
    <col min="250" max="250" width="1" style="17" customWidth="1"/>
    <col min="251" max="251" width="196.5703125" style="17" customWidth="1"/>
    <col min="252" max="252" width="1" style="17" customWidth="1"/>
    <col min="253" max="253" width="35.85546875" style="17" customWidth="1"/>
    <col min="254" max="254" width="17" style="17" customWidth="1"/>
    <col min="255" max="255" width="21.28515625" style="17" customWidth="1"/>
    <col min="256" max="256" width="18" style="17" customWidth="1"/>
    <col min="257" max="257" width="27.85546875" style="17" customWidth="1"/>
    <col min="258" max="258" width="31.28515625" style="17" customWidth="1"/>
    <col min="259" max="259" width="27" style="17" customWidth="1"/>
    <col min="260" max="260" width="23.140625" style="17" customWidth="1"/>
    <col min="261" max="261" width="29.42578125" style="17" customWidth="1"/>
    <col min="262" max="262" width="25.85546875" style="17" customWidth="1"/>
    <col min="263" max="263" width="31" style="17" customWidth="1"/>
    <col min="264" max="264" width="19.7109375" style="17" customWidth="1"/>
    <col min="265" max="265" width="23.42578125" style="17" customWidth="1"/>
    <col min="266" max="497" width="9.140625" style="17"/>
    <col min="498" max="498" width="7.42578125" style="17" customWidth="1"/>
    <col min="499" max="499" width="13.5703125" style="17" customWidth="1"/>
    <col min="500" max="500" width="36.28515625" style="17" bestFit="1" customWidth="1"/>
    <col min="501" max="501" width="16.28515625" style="17" bestFit="1" customWidth="1"/>
    <col min="502" max="502" width="18.85546875" style="17" customWidth="1"/>
    <col min="503" max="503" width="1" style="17" customWidth="1"/>
    <col min="504" max="504" width="15.85546875" style="17" customWidth="1"/>
    <col min="505" max="505" width="22.5703125" style="17" customWidth="1"/>
    <col min="506" max="506" width="1" style="17" customWidth="1"/>
    <col min="507" max="507" width="196.5703125" style="17" customWidth="1"/>
    <col min="508" max="508" width="1" style="17" customWidth="1"/>
    <col min="509" max="509" width="35.85546875" style="17" customWidth="1"/>
    <col min="510" max="510" width="17" style="17" customWidth="1"/>
    <col min="511" max="511" width="21.28515625" style="17" customWidth="1"/>
    <col min="512" max="512" width="18" style="17" customWidth="1"/>
    <col min="513" max="513" width="27.85546875" style="17" customWidth="1"/>
    <col min="514" max="514" width="31.28515625" style="17" customWidth="1"/>
    <col min="515" max="515" width="27" style="17" customWidth="1"/>
    <col min="516" max="516" width="23.140625" style="17" customWidth="1"/>
    <col min="517" max="517" width="29.42578125" style="17" customWidth="1"/>
    <col min="518" max="518" width="25.85546875" style="17" customWidth="1"/>
    <col min="519" max="519" width="31" style="17" customWidth="1"/>
    <col min="520" max="520" width="19.7109375" style="17" customWidth="1"/>
    <col min="521" max="521" width="23.42578125" style="17" customWidth="1"/>
    <col min="522" max="753" width="9.140625" style="17"/>
    <col min="754" max="754" width="7.42578125" style="17" customWidth="1"/>
    <col min="755" max="755" width="13.5703125" style="17" customWidth="1"/>
    <col min="756" max="756" width="36.28515625" style="17" bestFit="1" customWidth="1"/>
    <col min="757" max="757" width="16.28515625" style="17" bestFit="1" customWidth="1"/>
    <col min="758" max="758" width="18.85546875" style="17" customWidth="1"/>
    <col min="759" max="759" width="1" style="17" customWidth="1"/>
    <col min="760" max="760" width="15.85546875" style="17" customWidth="1"/>
    <col min="761" max="761" width="22.5703125" style="17" customWidth="1"/>
    <col min="762" max="762" width="1" style="17" customWidth="1"/>
    <col min="763" max="763" width="196.5703125" style="17" customWidth="1"/>
    <col min="764" max="764" width="1" style="17" customWidth="1"/>
    <col min="765" max="765" width="35.85546875" style="17" customWidth="1"/>
    <col min="766" max="766" width="17" style="17" customWidth="1"/>
    <col min="767" max="767" width="21.28515625" style="17" customWidth="1"/>
    <col min="768" max="768" width="18" style="17" customWidth="1"/>
    <col min="769" max="769" width="27.85546875" style="17" customWidth="1"/>
    <col min="770" max="770" width="31.28515625" style="17" customWidth="1"/>
    <col min="771" max="771" width="27" style="17" customWidth="1"/>
    <col min="772" max="772" width="23.140625" style="17" customWidth="1"/>
    <col min="773" max="773" width="29.42578125" style="17" customWidth="1"/>
    <col min="774" max="774" width="25.85546875" style="17" customWidth="1"/>
    <col min="775" max="775" width="31" style="17" customWidth="1"/>
    <col min="776" max="776" width="19.7109375" style="17" customWidth="1"/>
    <col min="777" max="777" width="23.42578125" style="17" customWidth="1"/>
    <col min="778" max="1009" width="9.140625" style="17"/>
    <col min="1010" max="1010" width="7.42578125" style="17" customWidth="1"/>
    <col min="1011" max="1011" width="13.5703125" style="17" customWidth="1"/>
    <col min="1012" max="1012" width="36.28515625" style="17" bestFit="1" customWidth="1"/>
    <col min="1013" max="1013" width="16.28515625" style="17" bestFit="1" customWidth="1"/>
    <col min="1014" max="1014" width="18.85546875" style="17" customWidth="1"/>
    <col min="1015" max="1015" width="1" style="17" customWidth="1"/>
    <col min="1016" max="1016" width="15.85546875" style="17" customWidth="1"/>
    <col min="1017" max="1017" width="22.5703125" style="17" customWidth="1"/>
    <col min="1018" max="1018" width="1" style="17" customWidth="1"/>
    <col min="1019" max="1019" width="196.5703125" style="17" customWidth="1"/>
    <col min="1020" max="1020" width="1" style="17" customWidth="1"/>
    <col min="1021" max="1021" width="35.85546875" style="17" customWidth="1"/>
    <col min="1022" max="1022" width="17" style="17" customWidth="1"/>
    <col min="1023" max="1023" width="21.28515625" style="17" customWidth="1"/>
    <col min="1024" max="1024" width="18" style="17" customWidth="1"/>
    <col min="1025" max="1025" width="27.85546875" style="17" customWidth="1"/>
    <col min="1026" max="1026" width="31.28515625" style="17" customWidth="1"/>
    <col min="1027" max="1027" width="27" style="17" customWidth="1"/>
    <col min="1028" max="1028" width="23.140625" style="17" customWidth="1"/>
    <col min="1029" max="1029" width="29.42578125" style="17" customWidth="1"/>
    <col min="1030" max="1030" width="25.85546875" style="17" customWidth="1"/>
    <col min="1031" max="1031" width="31" style="17" customWidth="1"/>
    <col min="1032" max="1032" width="19.7109375" style="17" customWidth="1"/>
    <col min="1033" max="1033" width="23.42578125" style="17" customWidth="1"/>
    <col min="1034" max="1265" width="9.140625" style="17"/>
    <col min="1266" max="1266" width="7.42578125" style="17" customWidth="1"/>
    <col min="1267" max="1267" width="13.5703125" style="17" customWidth="1"/>
    <col min="1268" max="1268" width="36.28515625" style="17" bestFit="1" customWidth="1"/>
    <col min="1269" max="1269" width="16.28515625" style="17" bestFit="1" customWidth="1"/>
    <col min="1270" max="1270" width="18.85546875" style="17" customWidth="1"/>
    <col min="1271" max="1271" width="1" style="17" customWidth="1"/>
    <col min="1272" max="1272" width="15.85546875" style="17" customWidth="1"/>
    <col min="1273" max="1273" width="22.5703125" style="17" customWidth="1"/>
    <col min="1274" max="1274" width="1" style="17" customWidth="1"/>
    <col min="1275" max="1275" width="196.5703125" style="17" customWidth="1"/>
    <col min="1276" max="1276" width="1" style="17" customWidth="1"/>
    <col min="1277" max="1277" width="35.85546875" style="17" customWidth="1"/>
    <col min="1278" max="1278" width="17" style="17" customWidth="1"/>
    <col min="1279" max="1279" width="21.28515625" style="17" customWidth="1"/>
    <col min="1280" max="1280" width="18" style="17" customWidth="1"/>
    <col min="1281" max="1281" width="27.85546875" style="17" customWidth="1"/>
    <col min="1282" max="1282" width="31.28515625" style="17" customWidth="1"/>
    <col min="1283" max="1283" width="27" style="17" customWidth="1"/>
    <col min="1284" max="1284" width="23.140625" style="17" customWidth="1"/>
    <col min="1285" max="1285" width="29.42578125" style="17" customWidth="1"/>
    <col min="1286" max="1286" width="25.85546875" style="17" customWidth="1"/>
    <col min="1287" max="1287" width="31" style="17" customWidth="1"/>
    <col min="1288" max="1288" width="19.7109375" style="17" customWidth="1"/>
    <col min="1289" max="1289" width="23.42578125" style="17" customWidth="1"/>
    <col min="1290" max="1521" width="9.140625" style="17"/>
    <col min="1522" max="1522" width="7.42578125" style="17" customWidth="1"/>
    <col min="1523" max="1523" width="13.5703125" style="17" customWidth="1"/>
    <col min="1524" max="1524" width="36.28515625" style="17" bestFit="1" customWidth="1"/>
    <col min="1525" max="1525" width="16.28515625" style="17" bestFit="1" customWidth="1"/>
    <col min="1526" max="1526" width="18.85546875" style="17" customWidth="1"/>
    <col min="1527" max="1527" width="1" style="17" customWidth="1"/>
    <col min="1528" max="1528" width="15.85546875" style="17" customWidth="1"/>
    <col min="1529" max="1529" width="22.5703125" style="17" customWidth="1"/>
    <col min="1530" max="1530" width="1" style="17" customWidth="1"/>
    <col min="1531" max="1531" width="196.5703125" style="17" customWidth="1"/>
    <col min="1532" max="1532" width="1" style="17" customWidth="1"/>
    <col min="1533" max="1533" width="35.85546875" style="17" customWidth="1"/>
    <col min="1534" max="1534" width="17" style="17" customWidth="1"/>
    <col min="1535" max="1535" width="21.28515625" style="17" customWidth="1"/>
    <col min="1536" max="1536" width="18" style="17" customWidth="1"/>
    <col min="1537" max="1537" width="27.85546875" style="17" customWidth="1"/>
    <col min="1538" max="1538" width="31.28515625" style="17" customWidth="1"/>
    <col min="1539" max="1539" width="27" style="17" customWidth="1"/>
    <col min="1540" max="1540" width="23.140625" style="17" customWidth="1"/>
    <col min="1541" max="1541" width="29.42578125" style="17" customWidth="1"/>
    <col min="1542" max="1542" width="25.85546875" style="17" customWidth="1"/>
    <col min="1543" max="1543" width="31" style="17" customWidth="1"/>
    <col min="1544" max="1544" width="19.7109375" style="17" customWidth="1"/>
    <col min="1545" max="1545" width="23.42578125" style="17" customWidth="1"/>
    <col min="1546" max="1777" width="9.140625" style="17"/>
    <col min="1778" max="1778" width="7.42578125" style="17" customWidth="1"/>
    <col min="1779" max="1779" width="13.5703125" style="17" customWidth="1"/>
    <col min="1780" max="1780" width="36.28515625" style="17" bestFit="1" customWidth="1"/>
    <col min="1781" max="1781" width="16.28515625" style="17" bestFit="1" customWidth="1"/>
    <col min="1782" max="1782" width="18.85546875" style="17" customWidth="1"/>
    <col min="1783" max="1783" width="1" style="17" customWidth="1"/>
    <col min="1784" max="1784" width="15.85546875" style="17" customWidth="1"/>
    <col min="1785" max="1785" width="22.5703125" style="17" customWidth="1"/>
    <col min="1786" max="1786" width="1" style="17" customWidth="1"/>
    <col min="1787" max="1787" width="196.5703125" style="17" customWidth="1"/>
    <col min="1788" max="1788" width="1" style="17" customWidth="1"/>
    <col min="1789" max="1789" width="35.85546875" style="17" customWidth="1"/>
    <col min="1790" max="1790" width="17" style="17" customWidth="1"/>
    <col min="1791" max="1791" width="21.28515625" style="17" customWidth="1"/>
    <col min="1792" max="1792" width="18" style="17" customWidth="1"/>
    <col min="1793" max="1793" width="27.85546875" style="17" customWidth="1"/>
    <col min="1794" max="1794" width="31.28515625" style="17" customWidth="1"/>
    <col min="1795" max="1795" width="27" style="17" customWidth="1"/>
    <col min="1796" max="1796" width="23.140625" style="17" customWidth="1"/>
    <col min="1797" max="1797" width="29.42578125" style="17" customWidth="1"/>
    <col min="1798" max="1798" width="25.85546875" style="17" customWidth="1"/>
    <col min="1799" max="1799" width="31" style="17" customWidth="1"/>
    <col min="1800" max="1800" width="19.7109375" style="17" customWidth="1"/>
    <col min="1801" max="1801" width="23.42578125" style="17" customWidth="1"/>
    <col min="1802" max="2033" width="9.140625" style="17"/>
    <col min="2034" max="2034" width="7.42578125" style="17" customWidth="1"/>
    <col min="2035" max="2035" width="13.5703125" style="17" customWidth="1"/>
    <col min="2036" max="2036" width="36.28515625" style="17" bestFit="1" customWidth="1"/>
    <col min="2037" max="2037" width="16.28515625" style="17" bestFit="1" customWidth="1"/>
    <col min="2038" max="2038" width="18.85546875" style="17" customWidth="1"/>
    <col min="2039" max="2039" width="1" style="17" customWidth="1"/>
    <col min="2040" max="2040" width="15.85546875" style="17" customWidth="1"/>
    <col min="2041" max="2041" width="22.5703125" style="17" customWidth="1"/>
    <col min="2042" max="2042" width="1" style="17" customWidth="1"/>
    <col min="2043" max="2043" width="196.5703125" style="17" customWidth="1"/>
    <col min="2044" max="2044" width="1" style="17" customWidth="1"/>
    <col min="2045" max="2045" width="35.85546875" style="17" customWidth="1"/>
    <col min="2046" max="2046" width="17" style="17" customWidth="1"/>
    <col min="2047" max="2047" width="21.28515625" style="17" customWidth="1"/>
    <col min="2048" max="2048" width="18" style="17" customWidth="1"/>
    <col min="2049" max="2049" width="27.85546875" style="17" customWidth="1"/>
    <col min="2050" max="2050" width="31.28515625" style="17" customWidth="1"/>
    <col min="2051" max="2051" width="27" style="17" customWidth="1"/>
    <col min="2052" max="2052" width="23.140625" style="17" customWidth="1"/>
    <col min="2053" max="2053" width="29.42578125" style="17" customWidth="1"/>
    <col min="2054" max="2054" width="25.85546875" style="17" customWidth="1"/>
    <col min="2055" max="2055" width="31" style="17" customWidth="1"/>
    <col min="2056" max="2056" width="19.7109375" style="17" customWidth="1"/>
    <col min="2057" max="2057" width="23.42578125" style="17" customWidth="1"/>
    <col min="2058" max="2289" width="9.140625" style="17"/>
    <col min="2290" max="2290" width="7.42578125" style="17" customWidth="1"/>
    <col min="2291" max="2291" width="13.5703125" style="17" customWidth="1"/>
    <col min="2292" max="2292" width="36.28515625" style="17" bestFit="1" customWidth="1"/>
    <col min="2293" max="2293" width="16.28515625" style="17" bestFit="1" customWidth="1"/>
    <col min="2294" max="2294" width="18.85546875" style="17" customWidth="1"/>
    <col min="2295" max="2295" width="1" style="17" customWidth="1"/>
    <col min="2296" max="2296" width="15.85546875" style="17" customWidth="1"/>
    <col min="2297" max="2297" width="22.5703125" style="17" customWidth="1"/>
    <col min="2298" max="2298" width="1" style="17" customWidth="1"/>
    <col min="2299" max="2299" width="196.5703125" style="17" customWidth="1"/>
    <col min="2300" max="2300" width="1" style="17" customWidth="1"/>
    <col min="2301" max="2301" width="35.85546875" style="17" customWidth="1"/>
    <col min="2302" max="2302" width="17" style="17" customWidth="1"/>
    <col min="2303" max="2303" width="21.28515625" style="17" customWidth="1"/>
    <col min="2304" max="2304" width="18" style="17" customWidth="1"/>
    <col min="2305" max="2305" width="27.85546875" style="17" customWidth="1"/>
    <col min="2306" max="2306" width="31.28515625" style="17" customWidth="1"/>
    <col min="2307" max="2307" width="27" style="17" customWidth="1"/>
    <col min="2308" max="2308" width="23.140625" style="17" customWidth="1"/>
    <col min="2309" max="2309" width="29.42578125" style="17" customWidth="1"/>
    <col min="2310" max="2310" width="25.85546875" style="17" customWidth="1"/>
    <col min="2311" max="2311" width="31" style="17" customWidth="1"/>
    <col min="2312" max="2312" width="19.7109375" style="17" customWidth="1"/>
    <col min="2313" max="2313" width="23.42578125" style="17" customWidth="1"/>
    <col min="2314" max="2545" width="9.140625" style="17"/>
    <col min="2546" max="2546" width="7.42578125" style="17" customWidth="1"/>
    <col min="2547" max="2547" width="13.5703125" style="17" customWidth="1"/>
    <col min="2548" max="2548" width="36.28515625" style="17" bestFit="1" customWidth="1"/>
    <col min="2549" max="2549" width="16.28515625" style="17" bestFit="1" customWidth="1"/>
    <col min="2550" max="2550" width="18.85546875" style="17" customWidth="1"/>
    <col min="2551" max="2551" width="1" style="17" customWidth="1"/>
    <col min="2552" max="2552" width="15.85546875" style="17" customWidth="1"/>
    <col min="2553" max="2553" width="22.5703125" style="17" customWidth="1"/>
    <col min="2554" max="2554" width="1" style="17" customWidth="1"/>
    <col min="2555" max="2555" width="196.5703125" style="17" customWidth="1"/>
    <col min="2556" max="2556" width="1" style="17" customWidth="1"/>
    <col min="2557" max="2557" width="35.85546875" style="17" customWidth="1"/>
    <col min="2558" max="2558" width="17" style="17" customWidth="1"/>
    <col min="2559" max="2559" width="21.28515625" style="17" customWidth="1"/>
    <col min="2560" max="2560" width="18" style="17" customWidth="1"/>
    <col min="2561" max="2561" width="27.85546875" style="17" customWidth="1"/>
    <col min="2562" max="2562" width="31.28515625" style="17" customWidth="1"/>
    <col min="2563" max="2563" width="27" style="17" customWidth="1"/>
    <col min="2564" max="2564" width="23.140625" style="17" customWidth="1"/>
    <col min="2565" max="2565" width="29.42578125" style="17" customWidth="1"/>
    <col min="2566" max="2566" width="25.85546875" style="17" customWidth="1"/>
    <col min="2567" max="2567" width="31" style="17" customWidth="1"/>
    <col min="2568" max="2568" width="19.7109375" style="17" customWidth="1"/>
    <col min="2569" max="2569" width="23.42578125" style="17" customWidth="1"/>
    <col min="2570" max="2801" width="9.140625" style="17"/>
    <col min="2802" max="2802" width="7.42578125" style="17" customWidth="1"/>
    <col min="2803" max="2803" width="13.5703125" style="17" customWidth="1"/>
    <col min="2804" max="2804" width="36.28515625" style="17" bestFit="1" customWidth="1"/>
    <col min="2805" max="2805" width="16.28515625" style="17" bestFit="1" customWidth="1"/>
    <col min="2806" max="2806" width="18.85546875" style="17" customWidth="1"/>
    <col min="2807" max="2807" width="1" style="17" customWidth="1"/>
    <col min="2808" max="2808" width="15.85546875" style="17" customWidth="1"/>
    <col min="2809" max="2809" width="22.5703125" style="17" customWidth="1"/>
    <col min="2810" max="2810" width="1" style="17" customWidth="1"/>
    <col min="2811" max="2811" width="196.5703125" style="17" customWidth="1"/>
    <col min="2812" max="2812" width="1" style="17" customWidth="1"/>
    <col min="2813" max="2813" width="35.85546875" style="17" customWidth="1"/>
    <col min="2814" max="2814" width="17" style="17" customWidth="1"/>
    <col min="2815" max="2815" width="21.28515625" style="17" customWidth="1"/>
    <col min="2816" max="2816" width="18" style="17" customWidth="1"/>
    <col min="2817" max="2817" width="27.85546875" style="17" customWidth="1"/>
    <col min="2818" max="2818" width="31.28515625" style="17" customWidth="1"/>
    <col min="2819" max="2819" width="27" style="17" customWidth="1"/>
    <col min="2820" max="2820" width="23.140625" style="17" customWidth="1"/>
    <col min="2821" max="2821" width="29.42578125" style="17" customWidth="1"/>
    <col min="2822" max="2822" width="25.85546875" style="17" customWidth="1"/>
    <col min="2823" max="2823" width="31" style="17" customWidth="1"/>
    <col min="2824" max="2824" width="19.7109375" style="17" customWidth="1"/>
    <col min="2825" max="2825" width="23.42578125" style="17" customWidth="1"/>
    <col min="2826" max="3057" width="9.140625" style="17"/>
    <col min="3058" max="3058" width="7.42578125" style="17" customWidth="1"/>
    <col min="3059" max="3059" width="13.5703125" style="17" customWidth="1"/>
    <col min="3060" max="3060" width="36.28515625" style="17" bestFit="1" customWidth="1"/>
    <col min="3061" max="3061" width="16.28515625" style="17" bestFit="1" customWidth="1"/>
    <col min="3062" max="3062" width="18.85546875" style="17" customWidth="1"/>
    <col min="3063" max="3063" width="1" style="17" customWidth="1"/>
    <col min="3064" max="3064" width="15.85546875" style="17" customWidth="1"/>
    <col min="3065" max="3065" width="22.5703125" style="17" customWidth="1"/>
    <col min="3066" max="3066" width="1" style="17" customWidth="1"/>
    <col min="3067" max="3067" width="196.5703125" style="17" customWidth="1"/>
    <col min="3068" max="3068" width="1" style="17" customWidth="1"/>
    <col min="3069" max="3069" width="35.85546875" style="17" customWidth="1"/>
    <col min="3070" max="3070" width="17" style="17" customWidth="1"/>
    <col min="3071" max="3071" width="21.28515625" style="17" customWidth="1"/>
    <col min="3072" max="3072" width="18" style="17" customWidth="1"/>
    <col min="3073" max="3073" width="27.85546875" style="17" customWidth="1"/>
    <col min="3074" max="3074" width="31.28515625" style="17" customWidth="1"/>
    <col min="3075" max="3075" width="27" style="17" customWidth="1"/>
    <col min="3076" max="3076" width="23.140625" style="17" customWidth="1"/>
    <col min="3077" max="3077" width="29.42578125" style="17" customWidth="1"/>
    <col min="3078" max="3078" width="25.85546875" style="17" customWidth="1"/>
    <col min="3079" max="3079" width="31" style="17" customWidth="1"/>
    <col min="3080" max="3080" width="19.7109375" style="17" customWidth="1"/>
    <col min="3081" max="3081" width="23.42578125" style="17" customWidth="1"/>
    <col min="3082" max="3313" width="9.140625" style="17"/>
    <col min="3314" max="3314" width="7.42578125" style="17" customWidth="1"/>
    <col min="3315" max="3315" width="13.5703125" style="17" customWidth="1"/>
    <col min="3316" max="3316" width="36.28515625" style="17" bestFit="1" customWidth="1"/>
    <col min="3317" max="3317" width="16.28515625" style="17" bestFit="1" customWidth="1"/>
    <col min="3318" max="3318" width="18.85546875" style="17" customWidth="1"/>
    <col min="3319" max="3319" width="1" style="17" customWidth="1"/>
    <col min="3320" max="3320" width="15.85546875" style="17" customWidth="1"/>
    <col min="3321" max="3321" width="22.5703125" style="17" customWidth="1"/>
    <col min="3322" max="3322" width="1" style="17" customWidth="1"/>
    <col min="3323" max="3323" width="196.5703125" style="17" customWidth="1"/>
    <col min="3324" max="3324" width="1" style="17" customWidth="1"/>
    <col min="3325" max="3325" width="35.85546875" style="17" customWidth="1"/>
    <col min="3326" max="3326" width="17" style="17" customWidth="1"/>
    <col min="3327" max="3327" width="21.28515625" style="17" customWidth="1"/>
    <col min="3328" max="3328" width="18" style="17" customWidth="1"/>
    <col min="3329" max="3329" width="27.85546875" style="17" customWidth="1"/>
    <col min="3330" max="3330" width="31.28515625" style="17" customWidth="1"/>
    <col min="3331" max="3331" width="27" style="17" customWidth="1"/>
    <col min="3332" max="3332" width="23.140625" style="17" customWidth="1"/>
    <col min="3333" max="3333" width="29.42578125" style="17" customWidth="1"/>
    <col min="3334" max="3334" width="25.85546875" style="17" customWidth="1"/>
    <col min="3335" max="3335" width="31" style="17" customWidth="1"/>
    <col min="3336" max="3336" width="19.7109375" style="17" customWidth="1"/>
    <col min="3337" max="3337" width="23.42578125" style="17" customWidth="1"/>
    <col min="3338" max="3569" width="9.140625" style="17"/>
    <col min="3570" max="3570" width="7.42578125" style="17" customWidth="1"/>
    <col min="3571" max="3571" width="13.5703125" style="17" customWidth="1"/>
    <col min="3572" max="3572" width="36.28515625" style="17" bestFit="1" customWidth="1"/>
    <col min="3573" max="3573" width="16.28515625" style="17" bestFit="1" customWidth="1"/>
    <col min="3574" max="3574" width="18.85546875" style="17" customWidth="1"/>
    <col min="3575" max="3575" width="1" style="17" customWidth="1"/>
    <col min="3576" max="3576" width="15.85546875" style="17" customWidth="1"/>
    <col min="3577" max="3577" width="22.5703125" style="17" customWidth="1"/>
    <col min="3578" max="3578" width="1" style="17" customWidth="1"/>
    <col min="3579" max="3579" width="196.5703125" style="17" customWidth="1"/>
    <col min="3580" max="3580" width="1" style="17" customWidth="1"/>
    <col min="3581" max="3581" width="35.85546875" style="17" customWidth="1"/>
    <col min="3582" max="3582" width="17" style="17" customWidth="1"/>
    <col min="3583" max="3583" width="21.28515625" style="17" customWidth="1"/>
    <col min="3584" max="3584" width="18" style="17" customWidth="1"/>
    <col min="3585" max="3585" width="27.85546875" style="17" customWidth="1"/>
    <col min="3586" max="3586" width="31.28515625" style="17" customWidth="1"/>
    <col min="3587" max="3587" width="27" style="17" customWidth="1"/>
    <col min="3588" max="3588" width="23.140625" style="17" customWidth="1"/>
    <col min="3589" max="3589" width="29.42578125" style="17" customWidth="1"/>
    <col min="3590" max="3590" width="25.85546875" style="17" customWidth="1"/>
    <col min="3591" max="3591" width="31" style="17" customWidth="1"/>
    <col min="3592" max="3592" width="19.7109375" style="17" customWidth="1"/>
    <col min="3593" max="3593" width="23.42578125" style="17" customWidth="1"/>
    <col min="3594" max="3825" width="9.140625" style="17"/>
    <col min="3826" max="3826" width="7.42578125" style="17" customWidth="1"/>
    <col min="3827" max="3827" width="13.5703125" style="17" customWidth="1"/>
    <col min="3828" max="3828" width="36.28515625" style="17" bestFit="1" customWidth="1"/>
    <col min="3829" max="3829" width="16.28515625" style="17" bestFit="1" customWidth="1"/>
    <col min="3830" max="3830" width="18.85546875" style="17" customWidth="1"/>
    <col min="3831" max="3831" width="1" style="17" customWidth="1"/>
    <col min="3832" max="3832" width="15.85546875" style="17" customWidth="1"/>
    <col min="3833" max="3833" width="22.5703125" style="17" customWidth="1"/>
    <col min="3834" max="3834" width="1" style="17" customWidth="1"/>
    <col min="3835" max="3835" width="196.5703125" style="17" customWidth="1"/>
    <col min="3836" max="3836" width="1" style="17" customWidth="1"/>
    <col min="3837" max="3837" width="35.85546875" style="17" customWidth="1"/>
    <col min="3838" max="3838" width="17" style="17" customWidth="1"/>
    <col min="3839" max="3839" width="21.28515625" style="17" customWidth="1"/>
    <col min="3840" max="3840" width="18" style="17" customWidth="1"/>
    <col min="3841" max="3841" width="27.85546875" style="17" customWidth="1"/>
    <col min="3842" max="3842" width="31.28515625" style="17" customWidth="1"/>
    <col min="3843" max="3843" width="27" style="17" customWidth="1"/>
    <col min="3844" max="3844" width="23.140625" style="17" customWidth="1"/>
    <col min="3845" max="3845" width="29.42578125" style="17" customWidth="1"/>
    <col min="3846" max="3846" width="25.85546875" style="17" customWidth="1"/>
    <col min="3847" max="3847" width="31" style="17" customWidth="1"/>
    <col min="3848" max="3848" width="19.7109375" style="17" customWidth="1"/>
    <col min="3849" max="3849" width="23.42578125" style="17" customWidth="1"/>
    <col min="3850" max="4081" width="9.140625" style="17"/>
    <col min="4082" max="4082" width="7.42578125" style="17" customWidth="1"/>
    <col min="4083" max="4083" width="13.5703125" style="17" customWidth="1"/>
    <col min="4084" max="4084" width="36.28515625" style="17" bestFit="1" customWidth="1"/>
    <col min="4085" max="4085" width="16.28515625" style="17" bestFit="1" customWidth="1"/>
    <col min="4086" max="4086" width="18.85546875" style="17" customWidth="1"/>
    <col min="4087" max="4087" width="1" style="17" customWidth="1"/>
    <col min="4088" max="4088" width="15.85546875" style="17" customWidth="1"/>
    <col min="4089" max="4089" width="22.5703125" style="17" customWidth="1"/>
    <col min="4090" max="4090" width="1" style="17" customWidth="1"/>
    <col min="4091" max="4091" width="196.5703125" style="17" customWidth="1"/>
    <col min="4092" max="4092" width="1" style="17" customWidth="1"/>
    <col min="4093" max="4093" width="35.85546875" style="17" customWidth="1"/>
    <col min="4094" max="4094" width="17" style="17" customWidth="1"/>
    <col min="4095" max="4095" width="21.28515625" style="17" customWidth="1"/>
    <col min="4096" max="4096" width="18" style="17" customWidth="1"/>
    <col min="4097" max="4097" width="27.85546875" style="17" customWidth="1"/>
    <col min="4098" max="4098" width="31.28515625" style="17" customWidth="1"/>
    <col min="4099" max="4099" width="27" style="17" customWidth="1"/>
    <col min="4100" max="4100" width="23.140625" style="17" customWidth="1"/>
    <col min="4101" max="4101" width="29.42578125" style="17" customWidth="1"/>
    <col min="4102" max="4102" width="25.85546875" style="17" customWidth="1"/>
    <col min="4103" max="4103" width="31" style="17" customWidth="1"/>
    <col min="4104" max="4104" width="19.7109375" style="17" customWidth="1"/>
    <col min="4105" max="4105" width="23.42578125" style="17" customWidth="1"/>
    <col min="4106" max="4337" width="9.140625" style="17"/>
    <col min="4338" max="4338" width="7.42578125" style="17" customWidth="1"/>
    <col min="4339" max="4339" width="13.5703125" style="17" customWidth="1"/>
    <col min="4340" max="4340" width="36.28515625" style="17" bestFit="1" customWidth="1"/>
    <col min="4341" max="4341" width="16.28515625" style="17" bestFit="1" customWidth="1"/>
    <col min="4342" max="4342" width="18.85546875" style="17" customWidth="1"/>
    <col min="4343" max="4343" width="1" style="17" customWidth="1"/>
    <col min="4344" max="4344" width="15.85546875" style="17" customWidth="1"/>
    <col min="4345" max="4345" width="22.5703125" style="17" customWidth="1"/>
    <col min="4346" max="4346" width="1" style="17" customWidth="1"/>
    <col min="4347" max="4347" width="196.5703125" style="17" customWidth="1"/>
    <col min="4348" max="4348" width="1" style="17" customWidth="1"/>
    <col min="4349" max="4349" width="35.85546875" style="17" customWidth="1"/>
    <col min="4350" max="4350" width="17" style="17" customWidth="1"/>
    <col min="4351" max="4351" width="21.28515625" style="17" customWidth="1"/>
    <col min="4352" max="4352" width="18" style="17" customWidth="1"/>
    <col min="4353" max="4353" width="27.85546875" style="17" customWidth="1"/>
    <col min="4354" max="4354" width="31.28515625" style="17" customWidth="1"/>
    <col min="4355" max="4355" width="27" style="17" customWidth="1"/>
    <col min="4356" max="4356" width="23.140625" style="17" customWidth="1"/>
    <col min="4357" max="4357" width="29.42578125" style="17" customWidth="1"/>
    <col min="4358" max="4358" width="25.85546875" style="17" customWidth="1"/>
    <col min="4359" max="4359" width="31" style="17" customWidth="1"/>
    <col min="4360" max="4360" width="19.7109375" style="17" customWidth="1"/>
    <col min="4361" max="4361" width="23.42578125" style="17" customWidth="1"/>
    <col min="4362" max="4593" width="9.140625" style="17"/>
    <col min="4594" max="4594" width="7.42578125" style="17" customWidth="1"/>
    <col min="4595" max="4595" width="13.5703125" style="17" customWidth="1"/>
    <col min="4596" max="4596" width="36.28515625" style="17" bestFit="1" customWidth="1"/>
    <col min="4597" max="4597" width="16.28515625" style="17" bestFit="1" customWidth="1"/>
    <col min="4598" max="4598" width="18.85546875" style="17" customWidth="1"/>
    <col min="4599" max="4599" width="1" style="17" customWidth="1"/>
    <col min="4600" max="4600" width="15.85546875" style="17" customWidth="1"/>
    <col min="4601" max="4601" width="22.5703125" style="17" customWidth="1"/>
    <col min="4602" max="4602" width="1" style="17" customWidth="1"/>
    <col min="4603" max="4603" width="196.5703125" style="17" customWidth="1"/>
    <col min="4604" max="4604" width="1" style="17" customWidth="1"/>
    <col min="4605" max="4605" width="35.85546875" style="17" customWidth="1"/>
    <col min="4606" max="4606" width="17" style="17" customWidth="1"/>
    <col min="4607" max="4607" width="21.28515625" style="17" customWidth="1"/>
    <col min="4608" max="4608" width="18" style="17" customWidth="1"/>
    <col min="4609" max="4609" width="27.85546875" style="17" customWidth="1"/>
    <col min="4610" max="4610" width="31.28515625" style="17" customWidth="1"/>
    <col min="4611" max="4611" width="27" style="17" customWidth="1"/>
    <col min="4612" max="4612" width="23.140625" style="17" customWidth="1"/>
    <col min="4613" max="4613" width="29.42578125" style="17" customWidth="1"/>
    <col min="4614" max="4614" width="25.85546875" style="17" customWidth="1"/>
    <col min="4615" max="4615" width="31" style="17" customWidth="1"/>
    <col min="4616" max="4616" width="19.7109375" style="17" customWidth="1"/>
    <col min="4617" max="4617" width="23.42578125" style="17" customWidth="1"/>
    <col min="4618" max="4849" width="9.140625" style="17"/>
    <col min="4850" max="4850" width="7.42578125" style="17" customWidth="1"/>
    <col min="4851" max="4851" width="13.5703125" style="17" customWidth="1"/>
    <col min="4852" max="4852" width="36.28515625" style="17" bestFit="1" customWidth="1"/>
    <col min="4853" max="4853" width="16.28515625" style="17" bestFit="1" customWidth="1"/>
    <col min="4854" max="4854" width="18.85546875" style="17" customWidth="1"/>
    <col min="4855" max="4855" width="1" style="17" customWidth="1"/>
    <col min="4856" max="4856" width="15.85546875" style="17" customWidth="1"/>
    <col min="4857" max="4857" width="22.5703125" style="17" customWidth="1"/>
    <col min="4858" max="4858" width="1" style="17" customWidth="1"/>
    <col min="4859" max="4859" width="196.5703125" style="17" customWidth="1"/>
    <col min="4860" max="4860" width="1" style="17" customWidth="1"/>
    <col min="4861" max="4861" width="35.85546875" style="17" customWidth="1"/>
    <col min="4862" max="4862" width="17" style="17" customWidth="1"/>
    <col min="4863" max="4863" width="21.28515625" style="17" customWidth="1"/>
    <col min="4864" max="4864" width="18" style="17" customWidth="1"/>
    <col min="4865" max="4865" width="27.85546875" style="17" customWidth="1"/>
    <col min="4866" max="4866" width="31.28515625" style="17" customWidth="1"/>
    <col min="4867" max="4867" width="27" style="17" customWidth="1"/>
    <col min="4868" max="4868" width="23.140625" style="17" customWidth="1"/>
    <col min="4869" max="4869" width="29.42578125" style="17" customWidth="1"/>
    <col min="4870" max="4870" width="25.85546875" style="17" customWidth="1"/>
    <col min="4871" max="4871" width="31" style="17" customWidth="1"/>
    <col min="4872" max="4872" width="19.7109375" style="17" customWidth="1"/>
    <col min="4873" max="4873" width="23.42578125" style="17" customWidth="1"/>
    <col min="4874" max="5105" width="9.140625" style="17"/>
    <col min="5106" max="5106" width="7.42578125" style="17" customWidth="1"/>
    <col min="5107" max="5107" width="13.5703125" style="17" customWidth="1"/>
    <col min="5108" max="5108" width="36.28515625" style="17" bestFit="1" customWidth="1"/>
    <col min="5109" max="5109" width="16.28515625" style="17" bestFit="1" customWidth="1"/>
    <col min="5110" max="5110" width="18.85546875" style="17" customWidth="1"/>
    <col min="5111" max="5111" width="1" style="17" customWidth="1"/>
    <col min="5112" max="5112" width="15.85546875" style="17" customWidth="1"/>
    <col min="5113" max="5113" width="22.5703125" style="17" customWidth="1"/>
    <col min="5114" max="5114" width="1" style="17" customWidth="1"/>
    <col min="5115" max="5115" width="196.5703125" style="17" customWidth="1"/>
    <col min="5116" max="5116" width="1" style="17" customWidth="1"/>
    <col min="5117" max="5117" width="35.85546875" style="17" customWidth="1"/>
    <col min="5118" max="5118" width="17" style="17" customWidth="1"/>
    <col min="5119" max="5119" width="21.28515625" style="17" customWidth="1"/>
    <col min="5120" max="5120" width="18" style="17" customWidth="1"/>
    <col min="5121" max="5121" width="27.85546875" style="17" customWidth="1"/>
    <col min="5122" max="5122" width="31.28515625" style="17" customWidth="1"/>
    <col min="5123" max="5123" width="27" style="17" customWidth="1"/>
    <col min="5124" max="5124" width="23.140625" style="17" customWidth="1"/>
    <col min="5125" max="5125" width="29.42578125" style="17" customWidth="1"/>
    <col min="5126" max="5126" width="25.85546875" style="17" customWidth="1"/>
    <col min="5127" max="5127" width="31" style="17" customWidth="1"/>
    <col min="5128" max="5128" width="19.7109375" style="17" customWidth="1"/>
    <col min="5129" max="5129" width="23.42578125" style="17" customWidth="1"/>
    <col min="5130" max="5361" width="9.140625" style="17"/>
    <col min="5362" max="5362" width="7.42578125" style="17" customWidth="1"/>
    <col min="5363" max="5363" width="13.5703125" style="17" customWidth="1"/>
    <col min="5364" max="5364" width="36.28515625" style="17" bestFit="1" customWidth="1"/>
    <col min="5365" max="5365" width="16.28515625" style="17" bestFit="1" customWidth="1"/>
    <col min="5366" max="5366" width="18.85546875" style="17" customWidth="1"/>
    <col min="5367" max="5367" width="1" style="17" customWidth="1"/>
    <col min="5368" max="5368" width="15.85546875" style="17" customWidth="1"/>
    <col min="5369" max="5369" width="22.5703125" style="17" customWidth="1"/>
    <col min="5370" max="5370" width="1" style="17" customWidth="1"/>
    <col min="5371" max="5371" width="196.5703125" style="17" customWidth="1"/>
    <col min="5372" max="5372" width="1" style="17" customWidth="1"/>
    <col min="5373" max="5373" width="35.85546875" style="17" customWidth="1"/>
    <col min="5374" max="5374" width="17" style="17" customWidth="1"/>
    <col min="5375" max="5375" width="21.28515625" style="17" customWidth="1"/>
    <col min="5376" max="5376" width="18" style="17" customWidth="1"/>
    <col min="5377" max="5377" width="27.85546875" style="17" customWidth="1"/>
    <col min="5378" max="5378" width="31.28515625" style="17" customWidth="1"/>
    <col min="5379" max="5379" width="27" style="17" customWidth="1"/>
    <col min="5380" max="5380" width="23.140625" style="17" customWidth="1"/>
    <col min="5381" max="5381" width="29.42578125" style="17" customWidth="1"/>
    <col min="5382" max="5382" width="25.85546875" style="17" customWidth="1"/>
    <col min="5383" max="5383" width="31" style="17" customWidth="1"/>
    <col min="5384" max="5384" width="19.7109375" style="17" customWidth="1"/>
    <col min="5385" max="5385" width="23.42578125" style="17" customWidth="1"/>
    <col min="5386" max="5617" width="9.140625" style="17"/>
    <col min="5618" max="5618" width="7.42578125" style="17" customWidth="1"/>
    <col min="5619" max="5619" width="13.5703125" style="17" customWidth="1"/>
    <col min="5620" max="5620" width="36.28515625" style="17" bestFit="1" customWidth="1"/>
    <col min="5621" max="5621" width="16.28515625" style="17" bestFit="1" customWidth="1"/>
    <col min="5622" max="5622" width="18.85546875" style="17" customWidth="1"/>
    <col min="5623" max="5623" width="1" style="17" customWidth="1"/>
    <col min="5624" max="5624" width="15.85546875" style="17" customWidth="1"/>
    <col min="5625" max="5625" width="22.5703125" style="17" customWidth="1"/>
    <col min="5626" max="5626" width="1" style="17" customWidth="1"/>
    <col min="5627" max="5627" width="196.5703125" style="17" customWidth="1"/>
    <col min="5628" max="5628" width="1" style="17" customWidth="1"/>
    <col min="5629" max="5629" width="35.85546875" style="17" customWidth="1"/>
    <col min="5630" max="5630" width="17" style="17" customWidth="1"/>
    <col min="5631" max="5631" width="21.28515625" style="17" customWidth="1"/>
    <col min="5632" max="5632" width="18" style="17" customWidth="1"/>
    <col min="5633" max="5633" width="27.85546875" style="17" customWidth="1"/>
    <col min="5634" max="5634" width="31.28515625" style="17" customWidth="1"/>
    <col min="5635" max="5635" width="27" style="17" customWidth="1"/>
    <col min="5636" max="5636" width="23.140625" style="17" customWidth="1"/>
    <col min="5637" max="5637" width="29.42578125" style="17" customWidth="1"/>
    <col min="5638" max="5638" width="25.85546875" style="17" customWidth="1"/>
    <col min="5639" max="5639" width="31" style="17" customWidth="1"/>
    <col min="5640" max="5640" width="19.7109375" style="17" customWidth="1"/>
    <col min="5641" max="5641" width="23.42578125" style="17" customWidth="1"/>
    <col min="5642" max="5873" width="9.140625" style="17"/>
    <col min="5874" max="5874" width="7.42578125" style="17" customWidth="1"/>
    <col min="5875" max="5875" width="13.5703125" style="17" customWidth="1"/>
    <col min="5876" max="5876" width="36.28515625" style="17" bestFit="1" customWidth="1"/>
    <col min="5877" max="5877" width="16.28515625" style="17" bestFit="1" customWidth="1"/>
    <col min="5878" max="5878" width="18.85546875" style="17" customWidth="1"/>
    <col min="5879" max="5879" width="1" style="17" customWidth="1"/>
    <col min="5880" max="5880" width="15.85546875" style="17" customWidth="1"/>
    <col min="5881" max="5881" width="22.5703125" style="17" customWidth="1"/>
    <col min="5882" max="5882" width="1" style="17" customWidth="1"/>
    <col min="5883" max="5883" width="196.5703125" style="17" customWidth="1"/>
    <col min="5884" max="5884" width="1" style="17" customWidth="1"/>
    <col min="5885" max="5885" width="35.85546875" style="17" customWidth="1"/>
    <col min="5886" max="5886" width="17" style="17" customWidth="1"/>
    <col min="5887" max="5887" width="21.28515625" style="17" customWidth="1"/>
    <col min="5888" max="5888" width="18" style="17" customWidth="1"/>
    <col min="5889" max="5889" width="27.85546875" style="17" customWidth="1"/>
    <col min="5890" max="5890" width="31.28515625" style="17" customWidth="1"/>
    <col min="5891" max="5891" width="27" style="17" customWidth="1"/>
    <col min="5892" max="5892" width="23.140625" style="17" customWidth="1"/>
    <col min="5893" max="5893" width="29.42578125" style="17" customWidth="1"/>
    <col min="5894" max="5894" width="25.85546875" style="17" customWidth="1"/>
    <col min="5895" max="5895" width="31" style="17" customWidth="1"/>
    <col min="5896" max="5896" width="19.7109375" style="17" customWidth="1"/>
    <col min="5897" max="5897" width="23.42578125" style="17" customWidth="1"/>
    <col min="5898" max="6129" width="9.140625" style="17"/>
    <col min="6130" max="6130" width="7.42578125" style="17" customWidth="1"/>
    <col min="6131" max="6131" width="13.5703125" style="17" customWidth="1"/>
    <col min="6132" max="6132" width="36.28515625" style="17" bestFit="1" customWidth="1"/>
    <col min="6133" max="6133" width="16.28515625" style="17" bestFit="1" customWidth="1"/>
    <col min="6134" max="6134" width="18.85546875" style="17" customWidth="1"/>
    <col min="6135" max="6135" width="1" style="17" customWidth="1"/>
    <col min="6136" max="6136" width="15.85546875" style="17" customWidth="1"/>
    <col min="6137" max="6137" width="22.5703125" style="17" customWidth="1"/>
    <col min="6138" max="6138" width="1" style="17" customWidth="1"/>
    <col min="6139" max="6139" width="196.5703125" style="17" customWidth="1"/>
    <col min="6140" max="6140" width="1" style="17" customWidth="1"/>
    <col min="6141" max="6141" width="35.85546875" style="17" customWidth="1"/>
    <col min="6142" max="6142" width="17" style="17" customWidth="1"/>
    <col min="6143" max="6143" width="21.28515625" style="17" customWidth="1"/>
    <col min="6144" max="6144" width="18" style="17" customWidth="1"/>
    <col min="6145" max="6145" width="27.85546875" style="17" customWidth="1"/>
    <col min="6146" max="6146" width="31.28515625" style="17" customWidth="1"/>
    <col min="6147" max="6147" width="27" style="17" customWidth="1"/>
    <col min="6148" max="6148" width="23.140625" style="17" customWidth="1"/>
    <col min="6149" max="6149" width="29.42578125" style="17" customWidth="1"/>
    <col min="6150" max="6150" width="25.85546875" style="17" customWidth="1"/>
    <col min="6151" max="6151" width="31" style="17" customWidth="1"/>
    <col min="6152" max="6152" width="19.7109375" style="17" customWidth="1"/>
    <col min="6153" max="6153" width="23.42578125" style="17" customWidth="1"/>
    <col min="6154" max="6385" width="9.140625" style="17"/>
    <col min="6386" max="6386" width="7.42578125" style="17" customWidth="1"/>
    <col min="6387" max="6387" width="13.5703125" style="17" customWidth="1"/>
    <col min="6388" max="6388" width="36.28515625" style="17" bestFit="1" customWidth="1"/>
    <col min="6389" max="6389" width="16.28515625" style="17" bestFit="1" customWidth="1"/>
    <col min="6390" max="6390" width="18.85546875" style="17" customWidth="1"/>
    <col min="6391" max="6391" width="1" style="17" customWidth="1"/>
    <col min="6392" max="6392" width="15.85546875" style="17" customWidth="1"/>
    <col min="6393" max="6393" width="22.5703125" style="17" customWidth="1"/>
    <col min="6394" max="6394" width="1" style="17" customWidth="1"/>
    <col min="6395" max="6395" width="196.5703125" style="17" customWidth="1"/>
    <col min="6396" max="6396" width="1" style="17" customWidth="1"/>
    <col min="6397" max="6397" width="35.85546875" style="17" customWidth="1"/>
    <col min="6398" max="6398" width="17" style="17" customWidth="1"/>
    <col min="6399" max="6399" width="21.28515625" style="17" customWidth="1"/>
    <col min="6400" max="6400" width="18" style="17" customWidth="1"/>
    <col min="6401" max="6401" width="27.85546875" style="17" customWidth="1"/>
    <col min="6402" max="6402" width="31.28515625" style="17" customWidth="1"/>
    <col min="6403" max="6403" width="27" style="17" customWidth="1"/>
    <col min="6404" max="6404" width="23.140625" style="17" customWidth="1"/>
    <col min="6405" max="6405" width="29.42578125" style="17" customWidth="1"/>
    <col min="6406" max="6406" width="25.85546875" style="17" customWidth="1"/>
    <col min="6407" max="6407" width="31" style="17" customWidth="1"/>
    <col min="6408" max="6408" width="19.7109375" style="17" customWidth="1"/>
    <col min="6409" max="6409" width="23.42578125" style="17" customWidth="1"/>
    <col min="6410" max="6641" width="9.140625" style="17"/>
    <col min="6642" max="6642" width="7.42578125" style="17" customWidth="1"/>
    <col min="6643" max="6643" width="13.5703125" style="17" customWidth="1"/>
    <col min="6644" max="6644" width="36.28515625" style="17" bestFit="1" customWidth="1"/>
    <col min="6645" max="6645" width="16.28515625" style="17" bestFit="1" customWidth="1"/>
    <col min="6646" max="6646" width="18.85546875" style="17" customWidth="1"/>
    <col min="6647" max="6647" width="1" style="17" customWidth="1"/>
    <col min="6648" max="6648" width="15.85546875" style="17" customWidth="1"/>
    <col min="6649" max="6649" width="22.5703125" style="17" customWidth="1"/>
    <col min="6650" max="6650" width="1" style="17" customWidth="1"/>
    <col min="6651" max="6651" width="196.5703125" style="17" customWidth="1"/>
    <col min="6652" max="6652" width="1" style="17" customWidth="1"/>
    <col min="6653" max="6653" width="35.85546875" style="17" customWidth="1"/>
    <col min="6654" max="6654" width="17" style="17" customWidth="1"/>
    <col min="6655" max="6655" width="21.28515625" style="17" customWidth="1"/>
    <col min="6656" max="6656" width="18" style="17" customWidth="1"/>
    <col min="6657" max="6657" width="27.85546875" style="17" customWidth="1"/>
    <col min="6658" max="6658" width="31.28515625" style="17" customWidth="1"/>
    <col min="6659" max="6659" width="27" style="17" customWidth="1"/>
    <col min="6660" max="6660" width="23.140625" style="17" customWidth="1"/>
    <col min="6661" max="6661" width="29.42578125" style="17" customWidth="1"/>
    <col min="6662" max="6662" width="25.85546875" style="17" customWidth="1"/>
    <col min="6663" max="6663" width="31" style="17" customWidth="1"/>
    <col min="6664" max="6664" width="19.7109375" style="17" customWidth="1"/>
    <col min="6665" max="6665" width="23.42578125" style="17" customWidth="1"/>
    <col min="6666" max="6897" width="9.140625" style="17"/>
    <col min="6898" max="6898" width="7.42578125" style="17" customWidth="1"/>
    <col min="6899" max="6899" width="13.5703125" style="17" customWidth="1"/>
    <col min="6900" max="6900" width="36.28515625" style="17" bestFit="1" customWidth="1"/>
    <col min="6901" max="6901" width="16.28515625" style="17" bestFit="1" customWidth="1"/>
    <col min="6902" max="6902" width="18.85546875" style="17" customWidth="1"/>
    <col min="6903" max="6903" width="1" style="17" customWidth="1"/>
    <col min="6904" max="6904" width="15.85546875" style="17" customWidth="1"/>
    <col min="6905" max="6905" width="22.5703125" style="17" customWidth="1"/>
    <col min="6906" max="6906" width="1" style="17" customWidth="1"/>
    <col min="6907" max="6907" width="196.5703125" style="17" customWidth="1"/>
    <col min="6908" max="6908" width="1" style="17" customWidth="1"/>
    <col min="6909" max="6909" width="35.85546875" style="17" customWidth="1"/>
    <col min="6910" max="6910" width="17" style="17" customWidth="1"/>
    <col min="6911" max="6911" width="21.28515625" style="17" customWidth="1"/>
    <col min="6912" max="6912" width="18" style="17" customWidth="1"/>
    <col min="6913" max="6913" width="27.85546875" style="17" customWidth="1"/>
    <col min="6914" max="6914" width="31.28515625" style="17" customWidth="1"/>
    <col min="6915" max="6915" width="27" style="17" customWidth="1"/>
    <col min="6916" max="6916" width="23.140625" style="17" customWidth="1"/>
    <col min="6917" max="6917" width="29.42578125" style="17" customWidth="1"/>
    <col min="6918" max="6918" width="25.85546875" style="17" customWidth="1"/>
    <col min="6919" max="6919" width="31" style="17" customWidth="1"/>
    <col min="6920" max="6920" width="19.7109375" style="17" customWidth="1"/>
    <col min="6921" max="6921" width="23.42578125" style="17" customWidth="1"/>
    <col min="6922" max="7153" width="9.140625" style="17"/>
    <col min="7154" max="7154" width="7.42578125" style="17" customWidth="1"/>
    <col min="7155" max="7155" width="13.5703125" style="17" customWidth="1"/>
    <col min="7156" max="7156" width="36.28515625" style="17" bestFit="1" customWidth="1"/>
    <col min="7157" max="7157" width="16.28515625" style="17" bestFit="1" customWidth="1"/>
    <col min="7158" max="7158" width="18.85546875" style="17" customWidth="1"/>
    <col min="7159" max="7159" width="1" style="17" customWidth="1"/>
    <col min="7160" max="7160" width="15.85546875" style="17" customWidth="1"/>
    <col min="7161" max="7161" width="22.5703125" style="17" customWidth="1"/>
    <col min="7162" max="7162" width="1" style="17" customWidth="1"/>
    <col min="7163" max="7163" width="196.5703125" style="17" customWidth="1"/>
    <col min="7164" max="7164" width="1" style="17" customWidth="1"/>
    <col min="7165" max="7165" width="35.85546875" style="17" customWidth="1"/>
    <col min="7166" max="7166" width="17" style="17" customWidth="1"/>
    <col min="7167" max="7167" width="21.28515625" style="17" customWidth="1"/>
    <col min="7168" max="7168" width="18" style="17" customWidth="1"/>
    <col min="7169" max="7169" width="27.85546875" style="17" customWidth="1"/>
    <col min="7170" max="7170" width="31.28515625" style="17" customWidth="1"/>
    <col min="7171" max="7171" width="27" style="17" customWidth="1"/>
    <col min="7172" max="7172" width="23.140625" style="17" customWidth="1"/>
    <col min="7173" max="7173" width="29.42578125" style="17" customWidth="1"/>
    <col min="7174" max="7174" width="25.85546875" style="17" customWidth="1"/>
    <col min="7175" max="7175" width="31" style="17" customWidth="1"/>
    <col min="7176" max="7176" width="19.7109375" style="17" customWidth="1"/>
    <col min="7177" max="7177" width="23.42578125" style="17" customWidth="1"/>
    <col min="7178" max="7409" width="9.140625" style="17"/>
    <col min="7410" max="7410" width="7.42578125" style="17" customWidth="1"/>
    <col min="7411" max="7411" width="13.5703125" style="17" customWidth="1"/>
    <col min="7412" max="7412" width="36.28515625" style="17" bestFit="1" customWidth="1"/>
    <col min="7413" max="7413" width="16.28515625" style="17" bestFit="1" customWidth="1"/>
    <col min="7414" max="7414" width="18.85546875" style="17" customWidth="1"/>
    <col min="7415" max="7415" width="1" style="17" customWidth="1"/>
    <col min="7416" max="7416" width="15.85546875" style="17" customWidth="1"/>
    <col min="7417" max="7417" width="22.5703125" style="17" customWidth="1"/>
    <col min="7418" max="7418" width="1" style="17" customWidth="1"/>
    <col min="7419" max="7419" width="196.5703125" style="17" customWidth="1"/>
    <col min="7420" max="7420" width="1" style="17" customWidth="1"/>
    <col min="7421" max="7421" width="35.85546875" style="17" customWidth="1"/>
    <col min="7422" max="7422" width="17" style="17" customWidth="1"/>
    <col min="7423" max="7423" width="21.28515625" style="17" customWidth="1"/>
    <col min="7424" max="7424" width="18" style="17" customWidth="1"/>
    <col min="7425" max="7425" width="27.85546875" style="17" customWidth="1"/>
    <col min="7426" max="7426" width="31.28515625" style="17" customWidth="1"/>
    <col min="7427" max="7427" width="27" style="17" customWidth="1"/>
    <col min="7428" max="7428" width="23.140625" style="17" customWidth="1"/>
    <col min="7429" max="7429" width="29.42578125" style="17" customWidth="1"/>
    <col min="7430" max="7430" width="25.85546875" style="17" customWidth="1"/>
    <col min="7431" max="7431" width="31" style="17" customWidth="1"/>
    <col min="7432" max="7432" width="19.7109375" style="17" customWidth="1"/>
    <col min="7433" max="7433" width="23.42578125" style="17" customWidth="1"/>
    <col min="7434" max="7665" width="9.140625" style="17"/>
    <col min="7666" max="7666" width="7.42578125" style="17" customWidth="1"/>
    <col min="7667" max="7667" width="13.5703125" style="17" customWidth="1"/>
    <col min="7668" max="7668" width="36.28515625" style="17" bestFit="1" customWidth="1"/>
    <col min="7669" max="7669" width="16.28515625" style="17" bestFit="1" customWidth="1"/>
    <col min="7670" max="7670" width="18.85546875" style="17" customWidth="1"/>
    <col min="7671" max="7671" width="1" style="17" customWidth="1"/>
    <col min="7672" max="7672" width="15.85546875" style="17" customWidth="1"/>
    <col min="7673" max="7673" width="22.5703125" style="17" customWidth="1"/>
    <col min="7674" max="7674" width="1" style="17" customWidth="1"/>
    <col min="7675" max="7675" width="196.5703125" style="17" customWidth="1"/>
    <col min="7676" max="7676" width="1" style="17" customWidth="1"/>
    <col min="7677" max="7677" width="35.85546875" style="17" customWidth="1"/>
    <col min="7678" max="7678" width="17" style="17" customWidth="1"/>
    <col min="7679" max="7679" width="21.28515625" style="17" customWidth="1"/>
    <col min="7680" max="7680" width="18" style="17" customWidth="1"/>
    <col min="7681" max="7681" width="27.85546875" style="17" customWidth="1"/>
    <col min="7682" max="7682" width="31.28515625" style="17" customWidth="1"/>
    <col min="7683" max="7683" width="27" style="17" customWidth="1"/>
    <col min="7684" max="7684" width="23.140625" style="17" customWidth="1"/>
    <col min="7685" max="7685" width="29.42578125" style="17" customWidth="1"/>
    <col min="7686" max="7686" width="25.85546875" style="17" customWidth="1"/>
    <col min="7687" max="7687" width="31" style="17" customWidth="1"/>
    <col min="7688" max="7688" width="19.7109375" style="17" customWidth="1"/>
    <col min="7689" max="7689" width="23.42578125" style="17" customWidth="1"/>
    <col min="7690" max="7921" width="9.140625" style="17"/>
    <col min="7922" max="7922" width="7.42578125" style="17" customWidth="1"/>
    <col min="7923" max="7923" width="13.5703125" style="17" customWidth="1"/>
    <col min="7924" max="7924" width="36.28515625" style="17" bestFit="1" customWidth="1"/>
    <col min="7925" max="7925" width="16.28515625" style="17" bestFit="1" customWidth="1"/>
    <col min="7926" max="7926" width="18.85546875" style="17" customWidth="1"/>
    <col min="7927" max="7927" width="1" style="17" customWidth="1"/>
    <col min="7928" max="7928" width="15.85546875" style="17" customWidth="1"/>
    <col min="7929" max="7929" width="22.5703125" style="17" customWidth="1"/>
    <col min="7930" max="7930" width="1" style="17" customWidth="1"/>
    <col min="7931" max="7931" width="196.5703125" style="17" customWidth="1"/>
    <col min="7932" max="7932" width="1" style="17" customWidth="1"/>
    <col min="7933" max="7933" width="35.85546875" style="17" customWidth="1"/>
    <col min="7934" max="7934" width="17" style="17" customWidth="1"/>
    <col min="7935" max="7935" width="21.28515625" style="17" customWidth="1"/>
    <col min="7936" max="7936" width="18" style="17" customWidth="1"/>
    <col min="7937" max="7937" width="27.85546875" style="17" customWidth="1"/>
    <col min="7938" max="7938" width="31.28515625" style="17" customWidth="1"/>
    <col min="7939" max="7939" width="27" style="17" customWidth="1"/>
    <col min="7940" max="7940" width="23.140625" style="17" customWidth="1"/>
    <col min="7941" max="7941" width="29.42578125" style="17" customWidth="1"/>
    <col min="7942" max="7942" width="25.85546875" style="17" customWidth="1"/>
    <col min="7943" max="7943" width="31" style="17" customWidth="1"/>
    <col min="7944" max="7944" width="19.7109375" style="17" customWidth="1"/>
    <col min="7945" max="7945" width="23.42578125" style="17" customWidth="1"/>
    <col min="7946" max="8177" width="9.140625" style="17"/>
    <col min="8178" max="8178" width="7.42578125" style="17" customWidth="1"/>
    <col min="8179" max="8179" width="13.5703125" style="17" customWidth="1"/>
    <col min="8180" max="8180" width="36.28515625" style="17" bestFit="1" customWidth="1"/>
    <col min="8181" max="8181" width="16.28515625" style="17" bestFit="1" customWidth="1"/>
    <col min="8182" max="8182" width="18.85546875" style="17" customWidth="1"/>
    <col min="8183" max="8183" width="1" style="17" customWidth="1"/>
    <col min="8184" max="8184" width="15.85546875" style="17" customWidth="1"/>
    <col min="8185" max="8185" width="22.5703125" style="17" customWidth="1"/>
    <col min="8186" max="8186" width="1" style="17" customWidth="1"/>
    <col min="8187" max="8187" width="196.5703125" style="17" customWidth="1"/>
    <col min="8188" max="8188" width="1" style="17" customWidth="1"/>
    <col min="8189" max="8189" width="35.85546875" style="17" customWidth="1"/>
    <col min="8190" max="8190" width="17" style="17" customWidth="1"/>
    <col min="8191" max="8191" width="21.28515625" style="17" customWidth="1"/>
    <col min="8192" max="8192" width="18" style="17" customWidth="1"/>
    <col min="8193" max="8193" width="27.85546875" style="17" customWidth="1"/>
    <col min="8194" max="8194" width="31.28515625" style="17" customWidth="1"/>
    <col min="8195" max="8195" width="27" style="17" customWidth="1"/>
    <col min="8196" max="8196" width="23.140625" style="17" customWidth="1"/>
    <col min="8197" max="8197" width="29.42578125" style="17" customWidth="1"/>
    <col min="8198" max="8198" width="25.85546875" style="17" customWidth="1"/>
    <col min="8199" max="8199" width="31" style="17" customWidth="1"/>
    <col min="8200" max="8200" width="19.7109375" style="17" customWidth="1"/>
    <col min="8201" max="8201" width="23.42578125" style="17" customWidth="1"/>
    <col min="8202" max="8433" width="9.140625" style="17"/>
    <col min="8434" max="8434" width="7.42578125" style="17" customWidth="1"/>
    <col min="8435" max="8435" width="13.5703125" style="17" customWidth="1"/>
    <col min="8436" max="8436" width="36.28515625" style="17" bestFit="1" customWidth="1"/>
    <col min="8437" max="8437" width="16.28515625" style="17" bestFit="1" customWidth="1"/>
    <col min="8438" max="8438" width="18.85546875" style="17" customWidth="1"/>
    <col min="8439" max="8439" width="1" style="17" customWidth="1"/>
    <col min="8440" max="8440" width="15.85546875" style="17" customWidth="1"/>
    <col min="8441" max="8441" width="22.5703125" style="17" customWidth="1"/>
    <col min="8442" max="8442" width="1" style="17" customWidth="1"/>
    <col min="8443" max="8443" width="196.5703125" style="17" customWidth="1"/>
    <col min="8444" max="8444" width="1" style="17" customWidth="1"/>
    <col min="8445" max="8445" width="35.85546875" style="17" customWidth="1"/>
    <col min="8446" max="8446" width="17" style="17" customWidth="1"/>
    <col min="8447" max="8447" width="21.28515625" style="17" customWidth="1"/>
    <col min="8448" max="8448" width="18" style="17" customWidth="1"/>
    <col min="8449" max="8449" width="27.85546875" style="17" customWidth="1"/>
    <col min="8450" max="8450" width="31.28515625" style="17" customWidth="1"/>
    <col min="8451" max="8451" width="27" style="17" customWidth="1"/>
    <col min="8452" max="8452" width="23.140625" style="17" customWidth="1"/>
    <col min="8453" max="8453" width="29.42578125" style="17" customWidth="1"/>
    <col min="8454" max="8454" width="25.85546875" style="17" customWidth="1"/>
    <col min="8455" max="8455" width="31" style="17" customWidth="1"/>
    <col min="8456" max="8456" width="19.7109375" style="17" customWidth="1"/>
    <col min="8457" max="8457" width="23.42578125" style="17" customWidth="1"/>
    <col min="8458" max="8689" width="9.140625" style="17"/>
    <col min="8690" max="8690" width="7.42578125" style="17" customWidth="1"/>
    <col min="8691" max="8691" width="13.5703125" style="17" customWidth="1"/>
    <col min="8692" max="8692" width="36.28515625" style="17" bestFit="1" customWidth="1"/>
    <col min="8693" max="8693" width="16.28515625" style="17" bestFit="1" customWidth="1"/>
    <col min="8694" max="8694" width="18.85546875" style="17" customWidth="1"/>
    <col min="8695" max="8695" width="1" style="17" customWidth="1"/>
    <col min="8696" max="8696" width="15.85546875" style="17" customWidth="1"/>
    <col min="8697" max="8697" width="22.5703125" style="17" customWidth="1"/>
    <col min="8698" max="8698" width="1" style="17" customWidth="1"/>
    <col min="8699" max="8699" width="196.5703125" style="17" customWidth="1"/>
    <col min="8700" max="8700" width="1" style="17" customWidth="1"/>
    <col min="8701" max="8701" width="35.85546875" style="17" customWidth="1"/>
    <col min="8702" max="8702" width="17" style="17" customWidth="1"/>
    <col min="8703" max="8703" width="21.28515625" style="17" customWidth="1"/>
    <col min="8704" max="8704" width="18" style="17" customWidth="1"/>
    <col min="8705" max="8705" width="27.85546875" style="17" customWidth="1"/>
    <col min="8706" max="8706" width="31.28515625" style="17" customWidth="1"/>
    <col min="8707" max="8707" width="27" style="17" customWidth="1"/>
    <col min="8708" max="8708" width="23.140625" style="17" customWidth="1"/>
    <col min="8709" max="8709" width="29.42578125" style="17" customWidth="1"/>
    <col min="8710" max="8710" width="25.85546875" style="17" customWidth="1"/>
    <col min="8711" max="8711" width="31" style="17" customWidth="1"/>
    <col min="8712" max="8712" width="19.7109375" style="17" customWidth="1"/>
    <col min="8713" max="8713" width="23.42578125" style="17" customWidth="1"/>
    <col min="8714" max="8945" width="9.140625" style="17"/>
    <col min="8946" max="8946" width="7.42578125" style="17" customWidth="1"/>
    <col min="8947" max="8947" width="13.5703125" style="17" customWidth="1"/>
    <col min="8948" max="8948" width="36.28515625" style="17" bestFit="1" customWidth="1"/>
    <col min="8949" max="8949" width="16.28515625" style="17" bestFit="1" customWidth="1"/>
    <col min="8950" max="8950" width="18.85546875" style="17" customWidth="1"/>
    <col min="8951" max="8951" width="1" style="17" customWidth="1"/>
    <col min="8952" max="8952" width="15.85546875" style="17" customWidth="1"/>
    <col min="8953" max="8953" width="22.5703125" style="17" customWidth="1"/>
    <col min="8954" max="8954" width="1" style="17" customWidth="1"/>
    <col min="8955" max="8955" width="196.5703125" style="17" customWidth="1"/>
    <col min="8956" max="8956" width="1" style="17" customWidth="1"/>
    <col min="8957" max="8957" width="35.85546875" style="17" customWidth="1"/>
    <col min="8958" max="8958" width="17" style="17" customWidth="1"/>
    <col min="8959" max="8959" width="21.28515625" style="17" customWidth="1"/>
    <col min="8960" max="8960" width="18" style="17" customWidth="1"/>
    <col min="8961" max="8961" width="27.85546875" style="17" customWidth="1"/>
    <col min="8962" max="8962" width="31.28515625" style="17" customWidth="1"/>
    <col min="8963" max="8963" width="27" style="17" customWidth="1"/>
    <col min="8964" max="8964" width="23.140625" style="17" customWidth="1"/>
    <col min="8965" max="8965" width="29.42578125" style="17" customWidth="1"/>
    <col min="8966" max="8966" width="25.85546875" style="17" customWidth="1"/>
    <col min="8967" max="8967" width="31" style="17" customWidth="1"/>
    <col min="8968" max="8968" width="19.7109375" style="17" customWidth="1"/>
    <col min="8969" max="8969" width="23.42578125" style="17" customWidth="1"/>
    <col min="8970" max="9201" width="9.140625" style="17"/>
    <col min="9202" max="9202" width="7.42578125" style="17" customWidth="1"/>
    <col min="9203" max="9203" width="13.5703125" style="17" customWidth="1"/>
    <col min="9204" max="9204" width="36.28515625" style="17" bestFit="1" customWidth="1"/>
    <col min="9205" max="9205" width="16.28515625" style="17" bestFit="1" customWidth="1"/>
    <col min="9206" max="9206" width="18.85546875" style="17" customWidth="1"/>
    <col min="9207" max="9207" width="1" style="17" customWidth="1"/>
    <col min="9208" max="9208" width="15.85546875" style="17" customWidth="1"/>
    <col min="9209" max="9209" width="22.5703125" style="17" customWidth="1"/>
    <col min="9210" max="9210" width="1" style="17" customWidth="1"/>
    <col min="9211" max="9211" width="196.5703125" style="17" customWidth="1"/>
    <col min="9212" max="9212" width="1" style="17" customWidth="1"/>
    <col min="9213" max="9213" width="35.85546875" style="17" customWidth="1"/>
    <col min="9214" max="9214" width="17" style="17" customWidth="1"/>
    <col min="9215" max="9215" width="21.28515625" style="17" customWidth="1"/>
    <col min="9216" max="9216" width="18" style="17" customWidth="1"/>
    <col min="9217" max="9217" width="27.85546875" style="17" customWidth="1"/>
    <col min="9218" max="9218" width="31.28515625" style="17" customWidth="1"/>
    <col min="9219" max="9219" width="27" style="17" customWidth="1"/>
    <col min="9220" max="9220" width="23.140625" style="17" customWidth="1"/>
    <col min="9221" max="9221" width="29.42578125" style="17" customWidth="1"/>
    <col min="9222" max="9222" width="25.85546875" style="17" customWidth="1"/>
    <col min="9223" max="9223" width="31" style="17" customWidth="1"/>
    <col min="9224" max="9224" width="19.7109375" style="17" customWidth="1"/>
    <col min="9225" max="9225" width="23.42578125" style="17" customWidth="1"/>
    <col min="9226" max="9457" width="9.140625" style="17"/>
    <col min="9458" max="9458" width="7.42578125" style="17" customWidth="1"/>
    <col min="9459" max="9459" width="13.5703125" style="17" customWidth="1"/>
    <col min="9460" max="9460" width="36.28515625" style="17" bestFit="1" customWidth="1"/>
    <col min="9461" max="9461" width="16.28515625" style="17" bestFit="1" customWidth="1"/>
    <col min="9462" max="9462" width="18.85546875" style="17" customWidth="1"/>
    <col min="9463" max="9463" width="1" style="17" customWidth="1"/>
    <col min="9464" max="9464" width="15.85546875" style="17" customWidth="1"/>
    <col min="9465" max="9465" width="22.5703125" style="17" customWidth="1"/>
    <col min="9466" max="9466" width="1" style="17" customWidth="1"/>
    <col min="9467" max="9467" width="196.5703125" style="17" customWidth="1"/>
    <col min="9468" max="9468" width="1" style="17" customWidth="1"/>
    <col min="9469" max="9469" width="35.85546875" style="17" customWidth="1"/>
    <col min="9470" max="9470" width="17" style="17" customWidth="1"/>
    <col min="9471" max="9471" width="21.28515625" style="17" customWidth="1"/>
    <col min="9472" max="9472" width="18" style="17" customWidth="1"/>
    <col min="9473" max="9473" width="27.85546875" style="17" customWidth="1"/>
    <col min="9474" max="9474" width="31.28515625" style="17" customWidth="1"/>
    <col min="9475" max="9475" width="27" style="17" customWidth="1"/>
    <col min="9476" max="9476" width="23.140625" style="17" customWidth="1"/>
    <col min="9477" max="9477" width="29.42578125" style="17" customWidth="1"/>
    <col min="9478" max="9478" width="25.85546875" style="17" customWidth="1"/>
    <col min="9479" max="9479" width="31" style="17" customWidth="1"/>
    <col min="9480" max="9480" width="19.7109375" style="17" customWidth="1"/>
    <col min="9481" max="9481" width="23.42578125" style="17" customWidth="1"/>
    <col min="9482" max="9713" width="9.140625" style="17"/>
    <col min="9714" max="9714" width="7.42578125" style="17" customWidth="1"/>
    <col min="9715" max="9715" width="13.5703125" style="17" customWidth="1"/>
    <col min="9716" max="9716" width="36.28515625" style="17" bestFit="1" customWidth="1"/>
    <col min="9717" max="9717" width="16.28515625" style="17" bestFit="1" customWidth="1"/>
    <col min="9718" max="9718" width="18.85546875" style="17" customWidth="1"/>
    <col min="9719" max="9719" width="1" style="17" customWidth="1"/>
    <col min="9720" max="9720" width="15.85546875" style="17" customWidth="1"/>
    <col min="9721" max="9721" width="22.5703125" style="17" customWidth="1"/>
    <col min="9722" max="9722" width="1" style="17" customWidth="1"/>
    <col min="9723" max="9723" width="196.5703125" style="17" customWidth="1"/>
    <col min="9724" max="9724" width="1" style="17" customWidth="1"/>
    <col min="9725" max="9725" width="35.85546875" style="17" customWidth="1"/>
    <col min="9726" max="9726" width="17" style="17" customWidth="1"/>
    <col min="9727" max="9727" width="21.28515625" style="17" customWidth="1"/>
    <col min="9728" max="9728" width="18" style="17" customWidth="1"/>
    <col min="9729" max="9729" width="27.85546875" style="17" customWidth="1"/>
    <col min="9730" max="9730" width="31.28515625" style="17" customWidth="1"/>
    <col min="9731" max="9731" width="27" style="17" customWidth="1"/>
    <col min="9732" max="9732" width="23.140625" style="17" customWidth="1"/>
    <col min="9733" max="9733" width="29.42578125" style="17" customWidth="1"/>
    <col min="9734" max="9734" width="25.85546875" style="17" customWidth="1"/>
    <col min="9735" max="9735" width="31" style="17" customWidth="1"/>
    <col min="9736" max="9736" width="19.7109375" style="17" customWidth="1"/>
    <col min="9737" max="9737" width="23.42578125" style="17" customWidth="1"/>
    <col min="9738" max="9969" width="9.140625" style="17"/>
    <col min="9970" max="9970" width="7.42578125" style="17" customWidth="1"/>
    <col min="9971" max="9971" width="13.5703125" style="17" customWidth="1"/>
    <col min="9972" max="9972" width="36.28515625" style="17" bestFit="1" customWidth="1"/>
    <col min="9973" max="9973" width="16.28515625" style="17" bestFit="1" customWidth="1"/>
    <col min="9974" max="9974" width="18.85546875" style="17" customWidth="1"/>
    <col min="9975" max="9975" width="1" style="17" customWidth="1"/>
    <col min="9976" max="9976" width="15.85546875" style="17" customWidth="1"/>
    <col min="9977" max="9977" width="22.5703125" style="17" customWidth="1"/>
    <col min="9978" max="9978" width="1" style="17" customWidth="1"/>
    <col min="9979" max="9979" width="196.5703125" style="17" customWidth="1"/>
    <col min="9980" max="9980" width="1" style="17" customWidth="1"/>
    <col min="9981" max="9981" width="35.85546875" style="17" customWidth="1"/>
    <col min="9982" max="9982" width="17" style="17" customWidth="1"/>
    <col min="9983" max="9983" width="21.28515625" style="17" customWidth="1"/>
    <col min="9984" max="9984" width="18" style="17" customWidth="1"/>
    <col min="9985" max="9985" width="27.85546875" style="17" customWidth="1"/>
    <col min="9986" max="9986" width="31.28515625" style="17" customWidth="1"/>
    <col min="9987" max="9987" width="27" style="17" customWidth="1"/>
    <col min="9988" max="9988" width="23.140625" style="17" customWidth="1"/>
    <col min="9989" max="9989" width="29.42578125" style="17" customWidth="1"/>
    <col min="9990" max="9990" width="25.85546875" style="17" customWidth="1"/>
    <col min="9991" max="9991" width="31" style="17" customWidth="1"/>
    <col min="9992" max="9992" width="19.7109375" style="17" customWidth="1"/>
    <col min="9993" max="9993" width="23.42578125" style="17" customWidth="1"/>
    <col min="9994" max="10225" width="9.140625" style="17"/>
    <col min="10226" max="10226" width="7.42578125" style="17" customWidth="1"/>
    <col min="10227" max="10227" width="13.5703125" style="17" customWidth="1"/>
    <col min="10228" max="10228" width="36.28515625" style="17" bestFit="1" customWidth="1"/>
    <col min="10229" max="10229" width="16.28515625" style="17" bestFit="1" customWidth="1"/>
    <col min="10230" max="10230" width="18.85546875" style="17" customWidth="1"/>
    <col min="10231" max="10231" width="1" style="17" customWidth="1"/>
    <col min="10232" max="10232" width="15.85546875" style="17" customWidth="1"/>
    <col min="10233" max="10233" width="22.5703125" style="17" customWidth="1"/>
    <col min="10234" max="10234" width="1" style="17" customWidth="1"/>
    <col min="10235" max="10235" width="196.5703125" style="17" customWidth="1"/>
    <col min="10236" max="10236" width="1" style="17" customWidth="1"/>
    <col min="10237" max="10237" width="35.85546875" style="17" customWidth="1"/>
    <col min="10238" max="10238" width="17" style="17" customWidth="1"/>
    <col min="10239" max="10239" width="21.28515625" style="17" customWidth="1"/>
    <col min="10240" max="10240" width="18" style="17" customWidth="1"/>
    <col min="10241" max="10241" width="27.85546875" style="17" customWidth="1"/>
    <col min="10242" max="10242" width="31.28515625" style="17" customWidth="1"/>
    <col min="10243" max="10243" width="27" style="17" customWidth="1"/>
    <col min="10244" max="10244" width="23.140625" style="17" customWidth="1"/>
    <col min="10245" max="10245" width="29.42578125" style="17" customWidth="1"/>
    <col min="10246" max="10246" width="25.85546875" style="17" customWidth="1"/>
    <col min="10247" max="10247" width="31" style="17" customWidth="1"/>
    <col min="10248" max="10248" width="19.7109375" style="17" customWidth="1"/>
    <col min="10249" max="10249" width="23.42578125" style="17" customWidth="1"/>
    <col min="10250" max="10481" width="9.140625" style="17"/>
    <col min="10482" max="10482" width="7.42578125" style="17" customWidth="1"/>
    <col min="10483" max="10483" width="13.5703125" style="17" customWidth="1"/>
    <col min="10484" max="10484" width="36.28515625" style="17" bestFit="1" customWidth="1"/>
    <col min="10485" max="10485" width="16.28515625" style="17" bestFit="1" customWidth="1"/>
    <col min="10486" max="10486" width="18.85546875" style="17" customWidth="1"/>
    <col min="10487" max="10487" width="1" style="17" customWidth="1"/>
    <col min="10488" max="10488" width="15.85546875" style="17" customWidth="1"/>
    <col min="10489" max="10489" width="22.5703125" style="17" customWidth="1"/>
    <col min="10490" max="10490" width="1" style="17" customWidth="1"/>
    <col min="10491" max="10491" width="196.5703125" style="17" customWidth="1"/>
    <col min="10492" max="10492" width="1" style="17" customWidth="1"/>
    <col min="10493" max="10493" width="35.85546875" style="17" customWidth="1"/>
    <col min="10494" max="10494" width="17" style="17" customWidth="1"/>
    <col min="10495" max="10495" width="21.28515625" style="17" customWidth="1"/>
    <col min="10496" max="10496" width="18" style="17" customWidth="1"/>
    <col min="10497" max="10497" width="27.85546875" style="17" customWidth="1"/>
    <col min="10498" max="10498" width="31.28515625" style="17" customWidth="1"/>
    <col min="10499" max="10499" width="27" style="17" customWidth="1"/>
    <col min="10500" max="10500" width="23.140625" style="17" customWidth="1"/>
    <col min="10501" max="10501" width="29.42578125" style="17" customWidth="1"/>
    <col min="10502" max="10502" width="25.85546875" style="17" customWidth="1"/>
    <col min="10503" max="10503" width="31" style="17" customWidth="1"/>
    <col min="10504" max="10504" width="19.7109375" style="17" customWidth="1"/>
    <col min="10505" max="10505" width="23.42578125" style="17" customWidth="1"/>
    <col min="10506" max="10737" width="9.140625" style="17"/>
    <col min="10738" max="10738" width="7.42578125" style="17" customWidth="1"/>
    <col min="10739" max="10739" width="13.5703125" style="17" customWidth="1"/>
    <col min="10740" max="10740" width="36.28515625" style="17" bestFit="1" customWidth="1"/>
    <col min="10741" max="10741" width="16.28515625" style="17" bestFit="1" customWidth="1"/>
    <col min="10742" max="10742" width="18.85546875" style="17" customWidth="1"/>
    <col min="10743" max="10743" width="1" style="17" customWidth="1"/>
    <col min="10744" max="10744" width="15.85546875" style="17" customWidth="1"/>
    <col min="10745" max="10745" width="22.5703125" style="17" customWidth="1"/>
    <col min="10746" max="10746" width="1" style="17" customWidth="1"/>
    <col min="10747" max="10747" width="196.5703125" style="17" customWidth="1"/>
    <col min="10748" max="10748" width="1" style="17" customWidth="1"/>
    <col min="10749" max="10749" width="35.85546875" style="17" customWidth="1"/>
    <col min="10750" max="10750" width="17" style="17" customWidth="1"/>
    <col min="10751" max="10751" width="21.28515625" style="17" customWidth="1"/>
    <col min="10752" max="10752" width="18" style="17" customWidth="1"/>
    <col min="10753" max="10753" width="27.85546875" style="17" customWidth="1"/>
    <col min="10754" max="10754" width="31.28515625" style="17" customWidth="1"/>
    <col min="10755" max="10755" width="27" style="17" customWidth="1"/>
    <col min="10756" max="10756" width="23.140625" style="17" customWidth="1"/>
    <col min="10757" max="10757" width="29.42578125" style="17" customWidth="1"/>
    <col min="10758" max="10758" width="25.85546875" style="17" customWidth="1"/>
    <col min="10759" max="10759" width="31" style="17" customWidth="1"/>
    <col min="10760" max="10760" width="19.7109375" style="17" customWidth="1"/>
    <col min="10761" max="10761" width="23.42578125" style="17" customWidth="1"/>
    <col min="10762" max="10993" width="9.140625" style="17"/>
    <col min="10994" max="10994" width="7.42578125" style="17" customWidth="1"/>
    <col min="10995" max="10995" width="13.5703125" style="17" customWidth="1"/>
    <col min="10996" max="10996" width="36.28515625" style="17" bestFit="1" customWidth="1"/>
    <col min="10997" max="10997" width="16.28515625" style="17" bestFit="1" customWidth="1"/>
    <col min="10998" max="10998" width="18.85546875" style="17" customWidth="1"/>
    <col min="10999" max="10999" width="1" style="17" customWidth="1"/>
    <col min="11000" max="11000" width="15.85546875" style="17" customWidth="1"/>
    <col min="11001" max="11001" width="22.5703125" style="17" customWidth="1"/>
    <col min="11002" max="11002" width="1" style="17" customWidth="1"/>
    <col min="11003" max="11003" width="196.5703125" style="17" customWidth="1"/>
    <col min="11004" max="11004" width="1" style="17" customWidth="1"/>
    <col min="11005" max="11005" width="35.85546875" style="17" customWidth="1"/>
    <col min="11006" max="11006" width="17" style="17" customWidth="1"/>
    <col min="11007" max="11007" width="21.28515625" style="17" customWidth="1"/>
    <col min="11008" max="11008" width="18" style="17" customWidth="1"/>
    <col min="11009" max="11009" width="27.85546875" style="17" customWidth="1"/>
    <col min="11010" max="11010" width="31.28515625" style="17" customWidth="1"/>
    <col min="11011" max="11011" width="27" style="17" customWidth="1"/>
    <col min="11012" max="11012" width="23.140625" style="17" customWidth="1"/>
    <col min="11013" max="11013" width="29.42578125" style="17" customWidth="1"/>
    <col min="11014" max="11014" width="25.85546875" style="17" customWidth="1"/>
    <col min="11015" max="11015" width="31" style="17" customWidth="1"/>
    <col min="11016" max="11016" width="19.7109375" style="17" customWidth="1"/>
    <col min="11017" max="11017" width="23.42578125" style="17" customWidth="1"/>
    <col min="11018" max="11249" width="9.140625" style="17"/>
    <col min="11250" max="11250" width="7.42578125" style="17" customWidth="1"/>
    <col min="11251" max="11251" width="13.5703125" style="17" customWidth="1"/>
    <col min="11252" max="11252" width="36.28515625" style="17" bestFit="1" customWidth="1"/>
    <col min="11253" max="11253" width="16.28515625" style="17" bestFit="1" customWidth="1"/>
    <col min="11254" max="11254" width="18.85546875" style="17" customWidth="1"/>
    <col min="11255" max="11255" width="1" style="17" customWidth="1"/>
    <col min="11256" max="11256" width="15.85546875" style="17" customWidth="1"/>
    <col min="11257" max="11257" width="22.5703125" style="17" customWidth="1"/>
    <col min="11258" max="11258" width="1" style="17" customWidth="1"/>
    <col min="11259" max="11259" width="196.5703125" style="17" customWidth="1"/>
    <col min="11260" max="11260" width="1" style="17" customWidth="1"/>
    <col min="11261" max="11261" width="35.85546875" style="17" customWidth="1"/>
    <col min="11262" max="11262" width="17" style="17" customWidth="1"/>
    <col min="11263" max="11263" width="21.28515625" style="17" customWidth="1"/>
    <col min="11264" max="11264" width="18" style="17" customWidth="1"/>
    <col min="11265" max="11265" width="27.85546875" style="17" customWidth="1"/>
    <col min="11266" max="11266" width="31.28515625" style="17" customWidth="1"/>
    <col min="11267" max="11267" width="27" style="17" customWidth="1"/>
    <col min="11268" max="11268" width="23.140625" style="17" customWidth="1"/>
    <col min="11269" max="11269" width="29.42578125" style="17" customWidth="1"/>
    <col min="11270" max="11270" width="25.85546875" style="17" customWidth="1"/>
    <col min="11271" max="11271" width="31" style="17" customWidth="1"/>
    <col min="11272" max="11272" width="19.7109375" style="17" customWidth="1"/>
    <col min="11273" max="11273" width="23.42578125" style="17" customWidth="1"/>
    <col min="11274" max="11505" width="9.140625" style="17"/>
    <col min="11506" max="11506" width="7.42578125" style="17" customWidth="1"/>
    <col min="11507" max="11507" width="13.5703125" style="17" customWidth="1"/>
    <col min="11508" max="11508" width="36.28515625" style="17" bestFit="1" customWidth="1"/>
    <col min="11509" max="11509" width="16.28515625" style="17" bestFit="1" customWidth="1"/>
    <col min="11510" max="11510" width="18.85546875" style="17" customWidth="1"/>
    <col min="11511" max="11511" width="1" style="17" customWidth="1"/>
    <col min="11512" max="11512" width="15.85546875" style="17" customWidth="1"/>
    <col min="11513" max="11513" width="22.5703125" style="17" customWidth="1"/>
    <col min="11514" max="11514" width="1" style="17" customWidth="1"/>
    <col min="11515" max="11515" width="196.5703125" style="17" customWidth="1"/>
    <col min="11516" max="11516" width="1" style="17" customWidth="1"/>
    <col min="11517" max="11517" width="35.85546875" style="17" customWidth="1"/>
    <col min="11518" max="11518" width="17" style="17" customWidth="1"/>
    <col min="11519" max="11519" width="21.28515625" style="17" customWidth="1"/>
    <col min="11520" max="11520" width="18" style="17" customWidth="1"/>
    <col min="11521" max="11521" width="27.85546875" style="17" customWidth="1"/>
    <col min="11522" max="11522" width="31.28515625" style="17" customWidth="1"/>
    <col min="11523" max="11523" width="27" style="17" customWidth="1"/>
    <col min="11524" max="11524" width="23.140625" style="17" customWidth="1"/>
    <col min="11525" max="11525" width="29.42578125" style="17" customWidth="1"/>
    <col min="11526" max="11526" width="25.85546875" style="17" customWidth="1"/>
    <col min="11527" max="11527" width="31" style="17" customWidth="1"/>
    <col min="11528" max="11528" width="19.7109375" style="17" customWidth="1"/>
    <col min="11529" max="11529" width="23.42578125" style="17" customWidth="1"/>
    <col min="11530" max="11761" width="9.140625" style="17"/>
    <col min="11762" max="11762" width="7.42578125" style="17" customWidth="1"/>
    <col min="11763" max="11763" width="13.5703125" style="17" customWidth="1"/>
    <col min="11764" max="11764" width="36.28515625" style="17" bestFit="1" customWidth="1"/>
    <col min="11765" max="11765" width="16.28515625" style="17" bestFit="1" customWidth="1"/>
    <col min="11766" max="11766" width="18.85546875" style="17" customWidth="1"/>
    <col min="11767" max="11767" width="1" style="17" customWidth="1"/>
    <col min="11768" max="11768" width="15.85546875" style="17" customWidth="1"/>
    <col min="11769" max="11769" width="22.5703125" style="17" customWidth="1"/>
    <col min="11770" max="11770" width="1" style="17" customWidth="1"/>
    <col min="11771" max="11771" width="196.5703125" style="17" customWidth="1"/>
    <col min="11772" max="11772" width="1" style="17" customWidth="1"/>
    <col min="11773" max="11773" width="35.85546875" style="17" customWidth="1"/>
    <col min="11774" max="11774" width="17" style="17" customWidth="1"/>
    <col min="11775" max="11775" width="21.28515625" style="17" customWidth="1"/>
    <col min="11776" max="11776" width="18" style="17" customWidth="1"/>
    <col min="11777" max="11777" width="27.85546875" style="17" customWidth="1"/>
    <col min="11778" max="11778" width="31.28515625" style="17" customWidth="1"/>
    <col min="11779" max="11779" width="27" style="17" customWidth="1"/>
    <col min="11780" max="11780" width="23.140625" style="17" customWidth="1"/>
    <col min="11781" max="11781" width="29.42578125" style="17" customWidth="1"/>
    <col min="11782" max="11782" width="25.85546875" style="17" customWidth="1"/>
    <col min="11783" max="11783" width="31" style="17" customWidth="1"/>
    <col min="11784" max="11784" width="19.7109375" style="17" customWidth="1"/>
    <col min="11785" max="11785" width="23.42578125" style="17" customWidth="1"/>
    <col min="11786" max="12017" width="9.140625" style="17"/>
    <col min="12018" max="12018" width="7.42578125" style="17" customWidth="1"/>
    <col min="12019" max="12019" width="13.5703125" style="17" customWidth="1"/>
    <col min="12020" max="12020" width="36.28515625" style="17" bestFit="1" customWidth="1"/>
    <col min="12021" max="12021" width="16.28515625" style="17" bestFit="1" customWidth="1"/>
    <col min="12022" max="12022" width="18.85546875" style="17" customWidth="1"/>
    <col min="12023" max="12023" width="1" style="17" customWidth="1"/>
    <col min="12024" max="12024" width="15.85546875" style="17" customWidth="1"/>
    <col min="12025" max="12025" width="22.5703125" style="17" customWidth="1"/>
    <col min="12026" max="12026" width="1" style="17" customWidth="1"/>
    <col min="12027" max="12027" width="196.5703125" style="17" customWidth="1"/>
    <col min="12028" max="12028" width="1" style="17" customWidth="1"/>
    <col min="12029" max="12029" width="35.85546875" style="17" customWidth="1"/>
    <col min="12030" max="12030" width="17" style="17" customWidth="1"/>
    <col min="12031" max="12031" width="21.28515625" style="17" customWidth="1"/>
    <col min="12032" max="12032" width="18" style="17" customWidth="1"/>
    <col min="12033" max="12033" width="27.85546875" style="17" customWidth="1"/>
    <col min="12034" max="12034" width="31.28515625" style="17" customWidth="1"/>
    <col min="12035" max="12035" width="27" style="17" customWidth="1"/>
    <col min="12036" max="12036" width="23.140625" style="17" customWidth="1"/>
    <col min="12037" max="12037" width="29.42578125" style="17" customWidth="1"/>
    <col min="12038" max="12038" width="25.85546875" style="17" customWidth="1"/>
    <col min="12039" max="12039" width="31" style="17" customWidth="1"/>
    <col min="12040" max="12040" width="19.7109375" style="17" customWidth="1"/>
    <col min="12041" max="12041" width="23.42578125" style="17" customWidth="1"/>
    <col min="12042" max="12273" width="9.140625" style="17"/>
    <col min="12274" max="12274" width="7.42578125" style="17" customWidth="1"/>
    <col min="12275" max="12275" width="13.5703125" style="17" customWidth="1"/>
    <col min="12276" max="12276" width="36.28515625" style="17" bestFit="1" customWidth="1"/>
    <col min="12277" max="12277" width="16.28515625" style="17" bestFit="1" customWidth="1"/>
    <col min="12278" max="12278" width="18.85546875" style="17" customWidth="1"/>
    <col min="12279" max="12279" width="1" style="17" customWidth="1"/>
    <col min="12280" max="12280" width="15.85546875" style="17" customWidth="1"/>
    <col min="12281" max="12281" width="22.5703125" style="17" customWidth="1"/>
    <col min="12282" max="12282" width="1" style="17" customWidth="1"/>
    <col min="12283" max="12283" width="196.5703125" style="17" customWidth="1"/>
    <col min="12284" max="12284" width="1" style="17" customWidth="1"/>
    <col min="12285" max="12285" width="35.85546875" style="17" customWidth="1"/>
    <col min="12286" max="12286" width="17" style="17" customWidth="1"/>
    <col min="12287" max="12287" width="21.28515625" style="17" customWidth="1"/>
    <col min="12288" max="12288" width="18" style="17" customWidth="1"/>
    <col min="12289" max="12289" width="27.85546875" style="17" customWidth="1"/>
    <col min="12290" max="12290" width="31.28515625" style="17" customWidth="1"/>
    <col min="12291" max="12291" width="27" style="17" customWidth="1"/>
    <col min="12292" max="12292" width="23.140625" style="17" customWidth="1"/>
    <col min="12293" max="12293" width="29.42578125" style="17" customWidth="1"/>
    <col min="12294" max="12294" width="25.85546875" style="17" customWidth="1"/>
    <col min="12295" max="12295" width="31" style="17" customWidth="1"/>
    <col min="12296" max="12296" width="19.7109375" style="17" customWidth="1"/>
    <col min="12297" max="12297" width="23.42578125" style="17" customWidth="1"/>
    <col min="12298" max="12529" width="9.140625" style="17"/>
    <col min="12530" max="12530" width="7.42578125" style="17" customWidth="1"/>
    <col min="12531" max="12531" width="13.5703125" style="17" customWidth="1"/>
    <col min="12532" max="12532" width="36.28515625" style="17" bestFit="1" customWidth="1"/>
    <col min="12533" max="12533" width="16.28515625" style="17" bestFit="1" customWidth="1"/>
    <col min="12534" max="12534" width="18.85546875" style="17" customWidth="1"/>
    <col min="12535" max="12535" width="1" style="17" customWidth="1"/>
    <col min="12536" max="12536" width="15.85546875" style="17" customWidth="1"/>
    <col min="12537" max="12537" width="22.5703125" style="17" customWidth="1"/>
    <col min="12538" max="12538" width="1" style="17" customWidth="1"/>
    <col min="12539" max="12539" width="196.5703125" style="17" customWidth="1"/>
    <col min="12540" max="12540" width="1" style="17" customWidth="1"/>
    <col min="12541" max="12541" width="35.85546875" style="17" customWidth="1"/>
    <col min="12542" max="12542" width="17" style="17" customWidth="1"/>
    <col min="12543" max="12543" width="21.28515625" style="17" customWidth="1"/>
    <col min="12544" max="12544" width="18" style="17" customWidth="1"/>
    <col min="12545" max="12545" width="27.85546875" style="17" customWidth="1"/>
    <col min="12546" max="12546" width="31.28515625" style="17" customWidth="1"/>
    <col min="12547" max="12547" width="27" style="17" customWidth="1"/>
    <col min="12548" max="12548" width="23.140625" style="17" customWidth="1"/>
    <col min="12549" max="12549" width="29.42578125" style="17" customWidth="1"/>
    <col min="12550" max="12550" width="25.85546875" style="17" customWidth="1"/>
    <col min="12551" max="12551" width="31" style="17" customWidth="1"/>
    <col min="12552" max="12552" width="19.7109375" style="17" customWidth="1"/>
    <col min="12553" max="12553" width="23.42578125" style="17" customWidth="1"/>
    <col min="12554" max="12785" width="9.140625" style="17"/>
    <col min="12786" max="12786" width="7.42578125" style="17" customWidth="1"/>
    <col min="12787" max="12787" width="13.5703125" style="17" customWidth="1"/>
    <col min="12788" max="12788" width="36.28515625" style="17" bestFit="1" customWidth="1"/>
    <col min="12789" max="12789" width="16.28515625" style="17" bestFit="1" customWidth="1"/>
    <col min="12790" max="12790" width="18.85546875" style="17" customWidth="1"/>
    <col min="12791" max="12791" width="1" style="17" customWidth="1"/>
    <col min="12792" max="12792" width="15.85546875" style="17" customWidth="1"/>
    <col min="12793" max="12793" width="22.5703125" style="17" customWidth="1"/>
    <col min="12794" max="12794" width="1" style="17" customWidth="1"/>
    <col min="12795" max="12795" width="196.5703125" style="17" customWidth="1"/>
    <col min="12796" max="12796" width="1" style="17" customWidth="1"/>
    <col min="12797" max="12797" width="35.85546875" style="17" customWidth="1"/>
    <col min="12798" max="12798" width="17" style="17" customWidth="1"/>
    <col min="12799" max="12799" width="21.28515625" style="17" customWidth="1"/>
    <col min="12800" max="12800" width="18" style="17" customWidth="1"/>
    <col min="12801" max="12801" width="27.85546875" style="17" customWidth="1"/>
    <col min="12802" max="12802" width="31.28515625" style="17" customWidth="1"/>
    <col min="12803" max="12803" width="27" style="17" customWidth="1"/>
    <col min="12804" max="12804" width="23.140625" style="17" customWidth="1"/>
    <col min="12805" max="12805" width="29.42578125" style="17" customWidth="1"/>
    <col min="12806" max="12806" width="25.85546875" style="17" customWidth="1"/>
    <col min="12807" max="12807" width="31" style="17" customWidth="1"/>
    <col min="12808" max="12808" width="19.7109375" style="17" customWidth="1"/>
    <col min="12809" max="12809" width="23.42578125" style="17" customWidth="1"/>
    <col min="12810" max="13041" width="9.140625" style="17"/>
    <col min="13042" max="13042" width="7.42578125" style="17" customWidth="1"/>
    <col min="13043" max="13043" width="13.5703125" style="17" customWidth="1"/>
    <col min="13044" max="13044" width="36.28515625" style="17" bestFit="1" customWidth="1"/>
    <col min="13045" max="13045" width="16.28515625" style="17" bestFit="1" customWidth="1"/>
    <col min="13046" max="13046" width="18.85546875" style="17" customWidth="1"/>
    <col min="13047" max="13047" width="1" style="17" customWidth="1"/>
    <col min="13048" max="13048" width="15.85546875" style="17" customWidth="1"/>
    <col min="13049" max="13049" width="22.5703125" style="17" customWidth="1"/>
    <col min="13050" max="13050" width="1" style="17" customWidth="1"/>
    <col min="13051" max="13051" width="196.5703125" style="17" customWidth="1"/>
    <col min="13052" max="13052" width="1" style="17" customWidth="1"/>
    <col min="13053" max="13053" width="35.85546875" style="17" customWidth="1"/>
    <col min="13054" max="13054" width="17" style="17" customWidth="1"/>
    <col min="13055" max="13055" width="21.28515625" style="17" customWidth="1"/>
    <col min="13056" max="13056" width="18" style="17" customWidth="1"/>
    <col min="13057" max="13057" width="27.85546875" style="17" customWidth="1"/>
    <col min="13058" max="13058" width="31.28515625" style="17" customWidth="1"/>
    <col min="13059" max="13059" width="27" style="17" customWidth="1"/>
    <col min="13060" max="13060" width="23.140625" style="17" customWidth="1"/>
    <col min="13061" max="13061" width="29.42578125" style="17" customWidth="1"/>
    <col min="13062" max="13062" width="25.85546875" style="17" customWidth="1"/>
    <col min="13063" max="13063" width="31" style="17" customWidth="1"/>
    <col min="13064" max="13064" width="19.7109375" style="17" customWidth="1"/>
    <col min="13065" max="13065" width="23.42578125" style="17" customWidth="1"/>
    <col min="13066" max="13297" width="9.140625" style="17"/>
    <col min="13298" max="13298" width="7.42578125" style="17" customWidth="1"/>
    <col min="13299" max="13299" width="13.5703125" style="17" customWidth="1"/>
    <col min="13300" max="13300" width="36.28515625" style="17" bestFit="1" customWidth="1"/>
    <col min="13301" max="13301" width="16.28515625" style="17" bestFit="1" customWidth="1"/>
    <col min="13302" max="13302" width="18.85546875" style="17" customWidth="1"/>
    <col min="13303" max="13303" width="1" style="17" customWidth="1"/>
    <col min="13304" max="13304" width="15.85546875" style="17" customWidth="1"/>
    <col min="13305" max="13305" width="22.5703125" style="17" customWidth="1"/>
    <col min="13306" max="13306" width="1" style="17" customWidth="1"/>
    <col min="13307" max="13307" width="196.5703125" style="17" customWidth="1"/>
    <col min="13308" max="13308" width="1" style="17" customWidth="1"/>
    <col min="13309" max="13309" width="35.85546875" style="17" customWidth="1"/>
    <col min="13310" max="13310" width="17" style="17" customWidth="1"/>
    <col min="13311" max="13311" width="21.28515625" style="17" customWidth="1"/>
    <col min="13312" max="13312" width="18" style="17" customWidth="1"/>
    <col min="13313" max="13313" width="27.85546875" style="17" customWidth="1"/>
    <col min="13314" max="13314" width="31.28515625" style="17" customWidth="1"/>
    <col min="13315" max="13315" width="27" style="17" customWidth="1"/>
    <col min="13316" max="13316" width="23.140625" style="17" customWidth="1"/>
    <col min="13317" max="13317" width="29.42578125" style="17" customWidth="1"/>
    <col min="13318" max="13318" width="25.85546875" style="17" customWidth="1"/>
    <col min="13319" max="13319" width="31" style="17" customWidth="1"/>
    <col min="13320" max="13320" width="19.7109375" style="17" customWidth="1"/>
    <col min="13321" max="13321" width="23.42578125" style="17" customWidth="1"/>
    <col min="13322" max="13553" width="9.140625" style="17"/>
    <col min="13554" max="13554" width="7.42578125" style="17" customWidth="1"/>
    <col min="13555" max="13555" width="13.5703125" style="17" customWidth="1"/>
    <col min="13556" max="13556" width="36.28515625" style="17" bestFit="1" customWidth="1"/>
    <col min="13557" max="13557" width="16.28515625" style="17" bestFit="1" customWidth="1"/>
    <col min="13558" max="13558" width="18.85546875" style="17" customWidth="1"/>
    <col min="13559" max="13559" width="1" style="17" customWidth="1"/>
    <col min="13560" max="13560" width="15.85546875" style="17" customWidth="1"/>
    <col min="13561" max="13561" width="22.5703125" style="17" customWidth="1"/>
    <col min="13562" max="13562" width="1" style="17" customWidth="1"/>
    <col min="13563" max="13563" width="196.5703125" style="17" customWidth="1"/>
    <col min="13564" max="13564" width="1" style="17" customWidth="1"/>
    <col min="13565" max="13565" width="35.85546875" style="17" customWidth="1"/>
    <col min="13566" max="13566" width="17" style="17" customWidth="1"/>
    <col min="13567" max="13567" width="21.28515625" style="17" customWidth="1"/>
    <col min="13568" max="13568" width="18" style="17" customWidth="1"/>
    <col min="13569" max="13569" width="27.85546875" style="17" customWidth="1"/>
    <col min="13570" max="13570" width="31.28515625" style="17" customWidth="1"/>
    <col min="13571" max="13571" width="27" style="17" customWidth="1"/>
    <col min="13572" max="13572" width="23.140625" style="17" customWidth="1"/>
    <col min="13573" max="13573" width="29.42578125" style="17" customWidth="1"/>
    <col min="13574" max="13574" width="25.85546875" style="17" customWidth="1"/>
    <col min="13575" max="13575" width="31" style="17" customWidth="1"/>
    <col min="13576" max="13576" width="19.7109375" style="17" customWidth="1"/>
    <col min="13577" max="13577" width="23.42578125" style="17" customWidth="1"/>
    <col min="13578" max="13809" width="9.140625" style="17"/>
    <col min="13810" max="13810" width="7.42578125" style="17" customWidth="1"/>
    <col min="13811" max="13811" width="13.5703125" style="17" customWidth="1"/>
    <col min="13812" max="13812" width="36.28515625" style="17" bestFit="1" customWidth="1"/>
    <col min="13813" max="13813" width="16.28515625" style="17" bestFit="1" customWidth="1"/>
    <col min="13814" max="13814" width="18.85546875" style="17" customWidth="1"/>
    <col min="13815" max="13815" width="1" style="17" customWidth="1"/>
    <col min="13816" max="13816" width="15.85546875" style="17" customWidth="1"/>
    <col min="13817" max="13817" width="22.5703125" style="17" customWidth="1"/>
    <col min="13818" max="13818" width="1" style="17" customWidth="1"/>
    <col min="13819" max="13819" width="196.5703125" style="17" customWidth="1"/>
    <col min="13820" max="13820" width="1" style="17" customWidth="1"/>
    <col min="13821" max="13821" width="35.85546875" style="17" customWidth="1"/>
    <col min="13822" max="13822" width="17" style="17" customWidth="1"/>
    <col min="13823" max="13823" width="21.28515625" style="17" customWidth="1"/>
    <col min="13824" max="13824" width="18" style="17" customWidth="1"/>
    <col min="13825" max="13825" width="27.85546875" style="17" customWidth="1"/>
    <col min="13826" max="13826" width="31.28515625" style="17" customWidth="1"/>
    <col min="13827" max="13827" width="27" style="17" customWidth="1"/>
    <col min="13828" max="13828" width="23.140625" style="17" customWidth="1"/>
    <col min="13829" max="13829" width="29.42578125" style="17" customWidth="1"/>
    <col min="13830" max="13830" width="25.85546875" style="17" customWidth="1"/>
    <col min="13831" max="13831" width="31" style="17" customWidth="1"/>
    <col min="13832" max="13832" width="19.7109375" style="17" customWidth="1"/>
    <col min="13833" max="13833" width="23.42578125" style="17" customWidth="1"/>
    <col min="13834" max="14065" width="9.140625" style="17"/>
    <col min="14066" max="14066" width="7.42578125" style="17" customWidth="1"/>
    <col min="14067" max="14067" width="13.5703125" style="17" customWidth="1"/>
    <col min="14068" max="14068" width="36.28515625" style="17" bestFit="1" customWidth="1"/>
    <col min="14069" max="14069" width="16.28515625" style="17" bestFit="1" customWidth="1"/>
    <col min="14070" max="14070" width="18.85546875" style="17" customWidth="1"/>
    <col min="14071" max="14071" width="1" style="17" customWidth="1"/>
    <col min="14072" max="14072" width="15.85546875" style="17" customWidth="1"/>
    <col min="14073" max="14073" width="22.5703125" style="17" customWidth="1"/>
    <col min="14074" max="14074" width="1" style="17" customWidth="1"/>
    <col min="14075" max="14075" width="196.5703125" style="17" customWidth="1"/>
    <col min="14076" max="14076" width="1" style="17" customWidth="1"/>
    <col min="14077" max="14077" width="35.85546875" style="17" customWidth="1"/>
    <col min="14078" max="14078" width="17" style="17" customWidth="1"/>
    <col min="14079" max="14079" width="21.28515625" style="17" customWidth="1"/>
    <col min="14080" max="14080" width="18" style="17" customWidth="1"/>
    <col min="14081" max="14081" width="27.85546875" style="17" customWidth="1"/>
    <col min="14082" max="14082" width="31.28515625" style="17" customWidth="1"/>
    <col min="14083" max="14083" width="27" style="17" customWidth="1"/>
    <col min="14084" max="14084" width="23.140625" style="17" customWidth="1"/>
    <col min="14085" max="14085" width="29.42578125" style="17" customWidth="1"/>
    <col min="14086" max="14086" width="25.85546875" style="17" customWidth="1"/>
    <col min="14087" max="14087" width="31" style="17" customWidth="1"/>
    <col min="14088" max="14088" width="19.7109375" style="17" customWidth="1"/>
    <col min="14089" max="14089" width="23.42578125" style="17" customWidth="1"/>
    <col min="14090" max="14321" width="9.140625" style="17"/>
    <col min="14322" max="14322" width="7.42578125" style="17" customWidth="1"/>
    <col min="14323" max="14323" width="13.5703125" style="17" customWidth="1"/>
    <col min="14324" max="14324" width="36.28515625" style="17" bestFit="1" customWidth="1"/>
    <col min="14325" max="14325" width="16.28515625" style="17" bestFit="1" customWidth="1"/>
    <col min="14326" max="14326" width="18.85546875" style="17" customWidth="1"/>
    <col min="14327" max="14327" width="1" style="17" customWidth="1"/>
    <col min="14328" max="14328" width="15.85546875" style="17" customWidth="1"/>
    <col min="14329" max="14329" width="22.5703125" style="17" customWidth="1"/>
    <col min="14330" max="14330" width="1" style="17" customWidth="1"/>
    <col min="14331" max="14331" width="196.5703125" style="17" customWidth="1"/>
    <col min="14332" max="14332" width="1" style="17" customWidth="1"/>
    <col min="14333" max="14333" width="35.85546875" style="17" customWidth="1"/>
    <col min="14334" max="14334" width="17" style="17" customWidth="1"/>
    <col min="14335" max="14335" width="21.28515625" style="17" customWidth="1"/>
    <col min="14336" max="14336" width="18" style="17" customWidth="1"/>
    <col min="14337" max="14337" width="27.85546875" style="17" customWidth="1"/>
    <col min="14338" max="14338" width="31.28515625" style="17" customWidth="1"/>
    <col min="14339" max="14339" width="27" style="17" customWidth="1"/>
    <col min="14340" max="14340" width="23.140625" style="17" customWidth="1"/>
    <col min="14341" max="14341" width="29.42578125" style="17" customWidth="1"/>
    <col min="14342" max="14342" width="25.85546875" style="17" customWidth="1"/>
    <col min="14343" max="14343" width="31" style="17" customWidth="1"/>
    <col min="14344" max="14344" width="19.7109375" style="17" customWidth="1"/>
    <col min="14345" max="14345" width="23.42578125" style="17" customWidth="1"/>
    <col min="14346" max="14577" width="9.140625" style="17"/>
    <col min="14578" max="14578" width="7.42578125" style="17" customWidth="1"/>
    <col min="14579" max="14579" width="13.5703125" style="17" customWidth="1"/>
    <col min="14580" max="14580" width="36.28515625" style="17" bestFit="1" customWidth="1"/>
    <col min="14581" max="14581" width="16.28515625" style="17" bestFit="1" customWidth="1"/>
    <col min="14582" max="14582" width="18.85546875" style="17" customWidth="1"/>
    <col min="14583" max="14583" width="1" style="17" customWidth="1"/>
    <col min="14584" max="14584" width="15.85546875" style="17" customWidth="1"/>
    <col min="14585" max="14585" width="22.5703125" style="17" customWidth="1"/>
    <col min="14586" max="14586" width="1" style="17" customWidth="1"/>
    <col min="14587" max="14587" width="196.5703125" style="17" customWidth="1"/>
    <col min="14588" max="14588" width="1" style="17" customWidth="1"/>
    <col min="14589" max="14589" width="35.85546875" style="17" customWidth="1"/>
    <col min="14590" max="14590" width="17" style="17" customWidth="1"/>
    <col min="14591" max="14591" width="21.28515625" style="17" customWidth="1"/>
    <col min="14592" max="14592" width="18" style="17" customWidth="1"/>
    <col min="14593" max="14593" width="27.85546875" style="17" customWidth="1"/>
    <col min="14594" max="14594" width="31.28515625" style="17" customWidth="1"/>
    <col min="14595" max="14595" width="27" style="17" customWidth="1"/>
    <col min="14596" max="14596" width="23.140625" style="17" customWidth="1"/>
    <col min="14597" max="14597" width="29.42578125" style="17" customWidth="1"/>
    <col min="14598" max="14598" width="25.85546875" style="17" customWidth="1"/>
    <col min="14599" max="14599" width="31" style="17" customWidth="1"/>
    <col min="14600" max="14600" width="19.7109375" style="17" customWidth="1"/>
    <col min="14601" max="14601" width="23.42578125" style="17" customWidth="1"/>
    <col min="14602" max="14833" width="9.140625" style="17"/>
    <col min="14834" max="14834" width="7.42578125" style="17" customWidth="1"/>
    <col min="14835" max="14835" width="13.5703125" style="17" customWidth="1"/>
    <col min="14836" max="14836" width="36.28515625" style="17" bestFit="1" customWidth="1"/>
    <col min="14837" max="14837" width="16.28515625" style="17" bestFit="1" customWidth="1"/>
    <col min="14838" max="14838" width="18.85546875" style="17" customWidth="1"/>
    <col min="14839" max="14839" width="1" style="17" customWidth="1"/>
    <col min="14840" max="14840" width="15.85546875" style="17" customWidth="1"/>
    <col min="14841" max="14841" width="22.5703125" style="17" customWidth="1"/>
    <col min="14842" max="14842" width="1" style="17" customWidth="1"/>
    <col min="14843" max="14843" width="196.5703125" style="17" customWidth="1"/>
    <col min="14844" max="14844" width="1" style="17" customWidth="1"/>
    <col min="14845" max="14845" width="35.85546875" style="17" customWidth="1"/>
    <col min="14846" max="14846" width="17" style="17" customWidth="1"/>
    <col min="14847" max="14847" width="21.28515625" style="17" customWidth="1"/>
    <col min="14848" max="14848" width="18" style="17" customWidth="1"/>
    <col min="14849" max="14849" width="27.85546875" style="17" customWidth="1"/>
    <col min="14850" max="14850" width="31.28515625" style="17" customWidth="1"/>
    <col min="14851" max="14851" width="27" style="17" customWidth="1"/>
    <col min="14852" max="14852" width="23.140625" style="17" customWidth="1"/>
    <col min="14853" max="14853" width="29.42578125" style="17" customWidth="1"/>
    <col min="14854" max="14854" width="25.85546875" style="17" customWidth="1"/>
    <col min="14855" max="14855" width="31" style="17" customWidth="1"/>
    <col min="14856" max="14856" width="19.7109375" style="17" customWidth="1"/>
    <col min="14857" max="14857" width="23.42578125" style="17" customWidth="1"/>
    <col min="14858" max="15089" width="9.140625" style="17"/>
    <col min="15090" max="15090" width="7.42578125" style="17" customWidth="1"/>
    <col min="15091" max="15091" width="13.5703125" style="17" customWidth="1"/>
    <col min="15092" max="15092" width="36.28515625" style="17" bestFit="1" customWidth="1"/>
    <col min="15093" max="15093" width="16.28515625" style="17" bestFit="1" customWidth="1"/>
    <col min="15094" max="15094" width="18.85546875" style="17" customWidth="1"/>
    <col min="15095" max="15095" width="1" style="17" customWidth="1"/>
    <col min="15096" max="15096" width="15.85546875" style="17" customWidth="1"/>
    <col min="15097" max="15097" width="22.5703125" style="17" customWidth="1"/>
    <col min="15098" max="15098" width="1" style="17" customWidth="1"/>
    <col min="15099" max="15099" width="196.5703125" style="17" customWidth="1"/>
    <col min="15100" max="15100" width="1" style="17" customWidth="1"/>
    <col min="15101" max="15101" width="35.85546875" style="17" customWidth="1"/>
    <col min="15102" max="15102" width="17" style="17" customWidth="1"/>
    <col min="15103" max="15103" width="21.28515625" style="17" customWidth="1"/>
    <col min="15104" max="15104" width="18" style="17" customWidth="1"/>
    <col min="15105" max="15105" width="27.85546875" style="17" customWidth="1"/>
    <col min="15106" max="15106" width="31.28515625" style="17" customWidth="1"/>
    <col min="15107" max="15107" width="27" style="17" customWidth="1"/>
    <col min="15108" max="15108" width="23.140625" style="17" customWidth="1"/>
    <col min="15109" max="15109" width="29.42578125" style="17" customWidth="1"/>
    <col min="15110" max="15110" width="25.85546875" style="17" customWidth="1"/>
    <col min="15111" max="15111" width="31" style="17" customWidth="1"/>
    <col min="15112" max="15112" width="19.7109375" style="17" customWidth="1"/>
    <col min="15113" max="15113" width="23.42578125" style="17" customWidth="1"/>
    <col min="15114" max="15345" width="9.140625" style="17"/>
    <col min="15346" max="15346" width="7.42578125" style="17" customWidth="1"/>
    <col min="15347" max="15347" width="13.5703125" style="17" customWidth="1"/>
    <col min="15348" max="15348" width="36.28515625" style="17" bestFit="1" customWidth="1"/>
    <col min="15349" max="15349" width="16.28515625" style="17" bestFit="1" customWidth="1"/>
    <col min="15350" max="15350" width="18.85546875" style="17" customWidth="1"/>
    <col min="15351" max="15351" width="1" style="17" customWidth="1"/>
    <col min="15352" max="15352" width="15.85546875" style="17" customWidth="1"/>
    <col min="15353" max="15353" width="22.5703125" style="17" customWidth="1"/>
    <col min="15354" max="15354" width="1" style="17" customWidth="1"/>
    <col min="15355" max="15355" width="196.5703125" style="17" customWidth="1"/>
    <col min="15356" max="15356" width="1" style="17" customWidth="1"/>
    <col min="15357" max="15357" width="35.85546875" style="17" customWidth="1"/>
    <col min="15358" max="15358" width="17" style="17" customWidth="1"/>
    <col min="15359" max="15359" width="21.28515625" style="17" customWidth="1"/>
    <col min="15360" max="15360" width="18" style="17" customWidth="1"/>
    <col min="15361" max="15361" width="27.85546875" style="17" customWidth="1"/>
    <col min="15362" max="15362" width="31.28515625" style="17" customWidth="1"/>
    <col min="15363" max="15363" width="27" style="17" customWidth="1"/>
    <col min="15364" max="15364" width="23.140625" style="17" customWidth="1"/>
    <col min="15365" max="15365" width="29.42578125" style="17" customWidth="1"/>
    <col min="15366" max="15366" width="25.85546875" style="17" customWidth="1"/>
    <col min="15367" max="15367" width="31" style="17" customWidth="1"/>
    <col min="15368" max="15368" width="19.7109375" style="17" customWidth="1"/>
    <col min="15369" max="15369" width="23.42578125" style="17" customWidth="1"/>
    <col min="15370" max="15601" width="9.140625" style="17"/>
    <col min="15602" max="15602" width="7.42578125" style="17" customWidth="1"/>
    <col min="15603" max="15603" width="13.5703125" style="17" customWidth="1"/>
    <col min="15604" max="15604" width="36.28515625" style="17" bestFit="1" customWidth="1"/>
    <col min="15605" max="15605" width="16.28515625" style="17" bestFit="1" customWidth="1"/>
    <col min="15606" max="15606" width="18.85546875" style="17" customWidth="1"/>
    <col min="15607" max="15607" width="1" style="17" customWidth="1"/>
    <col min="15608" max="15608" width="15.85546875" style="17" customWidth="1"/>
    <col min="15609" max="15609" width="22.5703125" style="17" customWidth="1"/>
    <col min="15610" max="15610" width="1" style="17" customWidth="1"/>
    <col min="15611" max="15611" width="196.5703125" style="17" customWidth="1"/>
    <col min="15612" max="15612" width="1" style="17" customWidth="1"/>
    <col min="15613" max="15613" width="35.85546875" style="17" customWidth="1"/>
    <col min="15614" max="15614" width="17" style="17" customWidth="1"/>
    <col min="15615" max="15615" width="21.28515625" style="17" customWidth="1"/>
    <col min="15616" max="15616" width="18" style="17" customWidth="1"/>
    <col min="15617" max="15617" width="27.85546875" style="17" customWidth="1"/>
    <col min="15618" max="15618" width="31.28515625" style="17" customWidth="1"/>
    <col min="15619" max="15619" width="27" style="17" customWidth="1"/>
    <col min="15620" max="15620" width="23.140625" style="17" customWidth="1"/>
    <col min="15621" max="15621" width="29.42578125" style="17" customWidth="1"/>
    <col min="15622" max="15622" width="25.85546875" style="17" customWidth="1"/>
    <col min="15623" max="15623" width="31" style="17" customWidth="1"/>
    <col min="15624" max="15624" width="19.7109375" style="17" customWidth="1"/>
    <col min="15625" max="15625" width="23.42578125" style="17" customWidth="1"/>
    <col min="15626" max="15857" width="9.140625" style="17"/>
    <col min="15858" max="15858" width="7.42578125" style="17" customWidth="1"/>
    <col min="15859" max="15859" width="13.5703125" style="17" customWidth="1"/>
    <col min="15860" max="15860" width="36.28515625" style="17" bestFit="1" customWidth="1"/>
    <col min="15861" max="15861" width="16.28515625" style="17" bestFit="1" customWidth="1"/>
    <col min="15862" max="15862" width="18.85546875" style="17" customWidth="1"/>
    <col min="15863" max="15863" width="1" style="17" customWidth="1"/>
    <col min="15864" max="15864" width="15.85546875" style="17" customWidth="1"/>
    <col min="15865" max="15865" width="22.5703125" style="17" customWidth="1"/>
    <col min="15866" max="15866" width="1" style="17" customWidth="1"/>
    <col min="15867" max="15867" width="196.5703125" style="17" customWidth="1"/>
    <col min="15868" max="15868" width="1" style="17" customWidth="1"/>
    <col min="15869" max="15869" width="35.85546875" style="17" customWidth="1"/>
    <col min="15870" max="15870" width="17" style="17" customWidth="1"/>
    <col min="15871" max="15871" width="21.28515625" style="17" customWidth="1"/>
    <col min="15872" max="15872" width="18" style="17" customWidth="1"/>
    <col min="15873" max="15873" width="27.85546875" style="17" customWidth="1"/>
    <col min="15874" max="15874" width="31.28515625" style="17" customWidth="1"/>
    <col min="15875" max="15875" width="27" style="17" customWidth="1"/>
    <col min="15876" max="15876" width="23.140625" style="17" customWidth="1"/>
    <col min="15877" max="15877" width="29.42578125" style="17" customWidth="1"/>
    <col min="15878" max="15878" width="25.85546875" style="17" customWidth="1"/>
    <col min="15879" max="15879" width="31" style="17" customWidth="1"/>
    <col min="15880" max="15880" width="19.7109375" style="17" customWidth="1"/>
    <col min="15881" max="15881" width="23.42578125" style="17" customWidth="1"/>
    <col min="15882" max="16113" width="9.140625" style="17"/>
    <col min="16114" max="16114" width="7.42578125" style="17" customWidth="1"/>
    <col min="16115" max="16115" width="13.5703125" style="17" customWidth="1"/>
    <col min="16116" max="16116" width="36.28515625" style="17" bestFit="1" customWidth="1"/>
    <col min="16117" max="16117" width="16.28515625" style="17" bestFit="1" customWidth="1"/>
    <col min="16118" max="16118" width="18.85546875" style="17" customWidth="1"/>
    <col min="16119" max="16119" width="1" style="17" customWidth="1"/>
    <col min="16120" max="16120" width="15.85546875" style="17" customWidth="1"/>
    <col min="16121" max="16121" width="22.5703125" style="17" customWidth="1"/>
    <col min="16122" max="16122" width="1" style="17" customWidth="1"/>
    <col min="16123" max="16123" width="196.5703125" style="17" customWidth="1"/>
    <col min="16124" max="16124" width="1" style="17" customWidth="1"/>
    <col min="16125" max="16125" width="35.85546875" style="17" customWidth="1"/>
    <col min="16126" max="16126" width="17" style="17" customWidth="1"/>
    <col min="16127" max="16127" width="21.28515625" style="17" customWidth="1"/>
    <col min="16128" max="16128" width="18" style="17" customWidth="1"/>
    <col min="16129" max="16129" width="27.85546875" style="17" customWidth="1"/>
    <col min="16130" max="16130" width="31.28515625" style="17" customWidth="1"/>
    <col min="16131" max="16131" width="27" style="17" customWidth="1"/>
    <col min="16132" max="16132" width="23.140625" style="17" customWidth="1"/>
    <col min="16133" max="16133" width="29.42578125" style="17" customWidth="1"/>
    <col min="16134" max="16134" width="25.85546875" style="17" customWidth="1"/>
    <col min="16135" max="16135" width="31" style="17" customWidth="1"/>
    <col min="16136" max="16136" width="19.7109375" style="17" customWidth="1"/>
    <col min="16137" max="16137" width="23.42578125" style="17" customWidth="1"/>
    <col min="16138" max="16384" width="9.140625" style="17"/>
  </cols>
  <sheetData>
    <row r="1" spans="1:9" s="20" customFormat="1" ht="35.25" thickBot="1" x14ac:dyDescent="0.3">
      <c r="A1" s="19" t="s">
        <v>342</v>
      </c>
      <c r="B1" s="19" t="s">
        <v>343</v>
      </c>
      <c r="C1" s="19" t="s">
        <v>344</v>
      </c>
      <c r="D1" s="19" t="s">
        <v>159</v>
      </c>
      <c r="E1" s="19" t="s">
        <v>345</v>
      </c>
      <c r="F1" s="19" t="s">
        <v>346</v>
      </c>
      <c r="G1" s="19" t="s">
        <v>347</v>
      </c>
      <c r="H1" s="19" t="s">
        <v>348</v>
      </c>
      <c r="I1" s="19" t="s">
        <v>349</v>
      </c>
    </row>
    <row r="2" spans="1:9" s="15" customFormat="1" ht="15.75" customHeight="1" thickTop="1" x14ac:dyDescent="0.25">
      <c r="A2" s="21">
        <v>1</v>
      </c>
      <c r="B2" s="22" t="s">
        <v>350</v>
      </c>
      <c r="C2" s="22" t="s">
        <v>351</v>
      </c>
      <c r="D2" s="22" t="s">
        <v>335</v>
      </c>
      <c r="E2" s="22" t="s">
        <v>352</v>
      </c>
      <c r="F2" s="23">
        <v>46245</v>
      </c>
      <c r="G2" s="24" t="s">
        <v>353</v>
      </c>
      <c r="H2" s="25" t="s">
        <v>336</v>
      </c>
      <c r="I2" s="22" t="s">
        <v>354</v>
      </c>
    </row>
    <row r="3" spans="1:9" s="15" customFormat="1" ht="15.75" customHeight="1" x14ac:dyDescent="0.25">
      <c r="A3" s="21">
        <v>2</v>
      </c>
      <c r="B3" s="22" t="s">
        <v>355</v>
      </c>
      <c r="C3" s="22" t="s">
        <v>356</v>
      </c>
      <c r="D3" s="22" t="s">
        <v>330</v>
      </c>
      <c r="E3" s="26" t="s">
        <v>357</v>
      </c>
      <c r="F3" s="23">
        <v>46210</v>
      </c>
      <c r="G3" s="24" t="s">
        <v>358</v>
      </c>
      <c r="H3" s="22" t="s">
        <v>331</v>
      </c>
      <c r="I3" s="27" t="s">
        <v>359</v>
      </c>
    </row>
    <row r="4" spans="1:9" s="15" customFormat="1" ht="15.75" customHeight="1" x14ac:dyDescent="0.25">
      <c r="A4" s="21">
        <v>3</v>
      </c>
      <c r="B4" s="22" t="s">
        <v>360</v>
      </c>
      <c r="C4" s="22" t="s">
        <v>361</v>
      </c>
      <c r="D4" s="22" t="s">
        <v>362</v>
      </c>
      <c r="E4" s="22" t="s">
        <v>352</v>
      </c>
      <c r="F4" s="23">
        <v>46108</v>
      </c>
      <c r="G4" s="24" t="s">
        <v>363</v>
      </c>
      <c r="H4" s="25" t="s">
        <v>336</v>
      </c>
      <c r="I4" s="22" t="s">
        <v>364</v>
      </c>
    </row>
    <row r="5" spans="1:9" s="15" customFormat="1" ht="15.75" customHeight="1" x14ac:dyDescent="0.25">
      <c r="A5" s="21">
        <v>4</v>
      </c>
      <c r="B5" s="22" t="s">
        <v>365</v>
      </c>
      <c r="C5" s="22" t="s">
        <v>366</v>
      </c>
      <c r="D5" s="22" t="s">
        <v>362</v>
      </c>
      <c r="E5" s="22" t="s">
        <v>352</v>
      </c>
      <c r="F5" s="23">
        <v>46093</v>
      </c>
      <c r="G5" s="24" t="s">
        <v>367</v>
      </c>
      <c r="H5" s="25" t="s">
        <v>336</v>
      </c>
      <c r="I5" s="22" t="s">
        <v>368</v>
      </c>
    </row>
    <row r="6" spans="1:9" s="15" customFormat="1" ht="15.75" customHeight="1" x14ac:dyDescent="0.25">
      <c r="A6" s="21">
        <v>5</v>
      </c>
      <c r="B6" s="22" t="s">
        <v>369</v>
      </c>
      <c r="C6" s="22" t="s">
        <v>370</v>
      </c>
      <c r="D6" s="22" t="s">
        <v>335</v>
      </c>
      <c r="E6" s="22" t="s">
        <v>352</v>
      </c>
      <c r="F6" s="23">
        <v>46017</v>
      </c>
      <c r="G6" s="24" t="s">
        <v>371</v>
      </c>
      <c r="H6" s="25" t="s">
        <v>336</v>
      </c>
      <c r="I6" s="22" t="s">
        <v>372</v>
      </c>
    </row>
    <row r="7" spans="1:9" s="15" customFormat="1" ht="15.75" customHeight="1" x14ac:dyDescent="0.25">
      <c r="A7" s="21">
        <v>6</v>
      </c>
      <c r="B7" s="22" t="s">
        <v>146</v>
      </c>
      <c r="C7" s="22" t="s">
        <v>161</v>
      </c>
      <c r="D7" s="22" t="s">
        <v>373</v>
      </c>
      <c r="E7" s="22" t="s">
        <v>374</v>
      </c>
      <c r="F7" s="23">
        <v>46003</v>
      </c>
      <c r="G7" s="24" t="s">
        <v>375</v>
      </c>
      <c r="H7" s="25" t="s">
        <v>336</v>
      </c>
      <c r="I7" s="22" t="s">
        <v>376</v>
      </c>
    </row>
    <row r="8" spans="1:9" s="15" customFormat="1" ht="15.75" customHeight="1" x14ac:dyDescent="0.25">
      <c r="A8" s="21">
        <v>7</v>
      </c>
      <c r="B8" s="22" t="s">
        <v>377</v>
      </c>
      <c r="C8" s="22" t="s">
        <v>378</v>
      </c>
      <c r="D8" s="22" t="s">
        <v>362</v>
      </c>
      <c r="E8" s="22" t="s">
        <v>352</v>
      </c>
      <c r="F8" s="23">
        <v>45946</v>
      </c>
      <c r="G8" s="24" t="s">
        <v>379</v>
      </c>
      <c r="H8" s="25" t="s">
        <v>336</v>
      </c>
      <c r="I8" s="22" t="s">
        <v>380</v>
      </c>
    </row>
    <row r="9" spans="1:9" s="15" customFormat="1" ht="15.75" customHeight="1" x14ac:dyDescent="0.25">
      <c r="A9" s="21">
        <v>8</v>
      </c>
      <c r="B9" s="22" t="s">
        <v>381</v>
      </c>
      <c r="C9" s="22" t="s">
        <v>382</v>
      </c>
      <c r="D9" s="22" t="s">
        <v>383</v>
      </c>
      <c r="E9" s="22" t="s">
        <v>384</v>
      </c>
      <c r="F9" s="23">
        <v>45837</v>
      </c>
      <c r="G9" s="24" t="s">
        <v>385</v>
      </c>
      <c r="H9" s="22" t="s">
        <v>329</v>
      </c>
      <c r="I9" s="22" t="s">
        <v>386</v>
      </c>
    </row>
    <row r="10" spans="1:9" s="15" customFormat="1" ht="15.75" customHeight="1" x14ac:dyDescent="0.25">
      <c r="A10" s="21">
        <v>9</v>
      </c>
      <c r="B10" s="22" t="s">
        <v>387</v>
      </c>
      <c r="C10" s="22" t="s">
        <v>388</v>
      </c>
      <c r="D10" s="22" t="s">
        <v>330</v>
      </c>
      <c r="E10" s="22" t="s">
        <v>357</v>
      </c>
      <c r="F10" s="23">
        <v>45674</v>
      </c>
      <c r="G10" s="24" t="s">
        <v>389</v>
      </c>
      <c r="H10" s="22" t="s">
        <v>331</v>
      </c>
      <c r="I10" s="22" t="s">
        <v>390</v>
      </c>
    </row>
    <row r="11" spans="1:9" s="15" customFormat="1" ht="15.75" customHeight="1" x14ac:dyDescent="0.25">
      <c r="A11" s="21">
        <v>10</v>
      </c>
      <c r="B11" s="22" t="s">
        <v>391</v>
      </c>
      <c r="C11" s="22" t="s">
        <v>392</v>
      </c>
      <c r="D11" s="22" t="s">
        <v>330</v>
      </c>
      <c r="E11" s="22" t="s">
        <v>357</v>
      </c>
      <c r="F11" s="23">
        <v>45674</v>
      </c>
      <c r="G11" s="24" t="s">
        <v>393</v>
      </c>
      <c r="H11" s="22" t="s">
        <v>331</v>
      </c>
      <c r="I11" s="22" t="s">
        <v>394</v>
      </c>
    </row>
    <row r="12" spans="1:9" s="15" customFormat="1" ht="15.75" customHeight="1" x14ac:dyDescent="0.25">
      <c r="A12" s="21">
        <v>11</v>
      </c>
      <c r="B12" s="22" t="s">
        <v>395</v>
      </c>
      <c r="C12" s="22" t="s">
        <v>396</v>
      </c>
      <c r="D12" s="22" t="s">
        <v>397</v>
      </c>
      <c r="E12" s="22" t="s">
        <v>352</v>
      </c>
      <c r="F12" s="23">
        <v>45644</v>
      </c>
      <c r="G12" s="24" t="s">
        <v>398</v>
      </c>
      <c r="H12" s="25" t="s">
        <v>336</v>
      </c>
      <c r="I12" s="22" t="s">
        <v>399</v>
      </c>
    </row>
    <row r="13" spans="1:9" s="15" customFormat="1" ht="15.75" customHeight="1" x14ac:dyDescent="0.25">
      <c r="A13" s="21">
        <v>12</v>
      </c>
      <c r="B13" s="22" t="s">
        <v>8</v>
      </c>
      <c r="C13" s="22" t="s">
        <v>179</v>
      </c>
      <c r="D13" s="22" t="s">
        <v>330</v>
      </c>
      <c r="E13" s="22" t="s">
        <v>357</v>
      </c>
      <c r="F13" s="23">
        <v>45591</v>
      </c>
      <c r="G13" s="24" t="s">
        <v>400</v>
      </c>
      <c r="H13" s="22" t="s">
        <v>331</v>
      </c>
      <c r="I13" s="22" t="s">
        <v>401</v>
      </c>
    </row>
    <row r="14" spans="1:9" s="15" customFormat="1" ht="15.75" customHeight="1" x14ac:dyDescent="0.25">
      <c r="A14" s="21">
        <v>13</v>
      </c>
      <c r="B14" s="22" t="s">
        <v>11</v>
      </c>
      <c r="C14" s="22" t="s">
        <v>178</v>
      </c>
      <c r="D14" s="28" t="s">
        <v>337</v>
      </c>
      <c r="E14" s="22" t="s">
        <v>352</v>
      </c>
      <c r="F14" s="23">
        <v>45471</v>
      </c>
      <c r="G14" s="24" t="s">
        <v>402</v>
      </c>
      <c r="H14" s="25" t="s">
        <v>336</v>
      </c>
      <c r="I14" s="22" t="s">
        <v>403</v>
      </c>
    </row>
    <row r="15" spans="1:9" s="15" customFormat="1" ht="15.75" customHeight="1" x14ac:dyDescent="0.25">
      <c r="A15" s="21">
        <v>14</v>
      </c>
      <c r="B15" s="22" t="s">
        <v>404</v>
      </c>
      <c r="C15" s="22" t="s">
        <v>405</v>
      </c>
      <c r="D15" s="28" t="s">
        <v>406</v>
      </c>
      <c r="E15" s="22" t="s">
        <v>407</v>
      </c>
      <c r="F15" s="23">
        <v>45431</v>
      </c>
      <c r="G15" s="24" t="s">
        <v>408</v>
      </c>
      <c r="H15" s="25" t="s">
        <v>336</v>
      </c>
      <c r="I15" s="22" t="s">
        <v>409</v>
      </c>
    </row>
    <row r="16" spans="1:9" s="15" customFormat="1" ht="15.75" customHeight="1" x14ac:dyDescent="0.25">
      <c r="A16" s="21">
        <v>15</v>
      </c>
      <c r="B16" s="22" t="s">
        <v>410</v>
      </c>
      <c r="C16" s="22" t="s">
        <v>411</v>
      </c>
      <c r="D16" s="22" t="s">
        <v>330</v>
      </c>
      <c r="E16" s="26" t="s">
        <v>357</v>
      </c>
      <c r="F16" s="23">
        <v>45227</v>
      </c>
      <c r="G16" s="24" t="s">
        <v>412</v>
      </c>
      <c r="H16" s="22" t="s">
        <v>331</v>
      </c>
      <c r="I16" s="22" t="s">
        <v>394</v>
      </c>
    </row>
    <row r="17" spans="1:9" s="15" customFormat="1" ht="15.75" customHeight="1" x14ac:dyDescent="0.25">
      <c r="A17" s="21">
        <v>16</v>
      </c>
      <c r="B17" s="22" t="s">
        <v>413</v>
      </c>
      <c r="C17" s="22" t="s">
        <v>414</v>
      </c>
      <c r="D17" s="22" t="s">
        <v>415</v>
      </c>
      <c r="E17" s="22" t="s">
        <v>416</v>
      </c>
      <c r="F17" s="23">
        <v>45212</v>
      </c>
      <c r="G17" s="24" t="s">
        <v>417</v>
      </c>
      <c r="H17" s="22" t="s">
        <v>331</v>
      </c>
      <c r="I17" s="22" t="s">
        <v>418</v>
      </c>
    </row>
    <row r="18" spans="1:9" s="15" customFormat="1" ht="15.75" customHeight="1" x14ac:dyDescent="0.25">
      <c r="A18" s="21">
        <v>17</v>
      </c>
      <c r="B18" s="22" t="s">
        <v>419</v>
      </c>
      <c r="C18" s="22" t="s">
        <v>420</v>
      </c>
      <c r="D18" s="22" t="s">
        <v>328</v>
      </c>
      <c r="E18" s="22" t="s">
        <v>384</v>
      </c>
      <c r="F18" s="23">
        <v>45170</v>
      </c>
      <c r="G18" s="24" t="s">
        <v>421</v>
      </c>
      <c r="H18" s="22" t="s">
        <v>329</v>
      </c>
      <c r="I18" s="22" t="s">
        <v>422</v>
      </c>
    </row>
    <row r="19" spans="1:9" s="15" customFormat="1" ht="15.75" customHeight="1" x14ac:dyDescent="0.25">
      <c r="A19" s="21">
        <v>18</v>
      </c>
      <c r="B19" s="22" t="s">
        <v>423</v>
      </c>
      <c r="C19" s="22" t="s">
        <v>424</v>
      </c>
      <c r="D19" s="28" t="s">
        <v>425</v>
      </c>
      <c r="E19" s="22" t="s">
        <v>426</v>
      </c>
      <c r="F19" s="23">
        <v>45169</v>
      </c>
      <c r="G19" s="24" t="s">
        <v>427</v>
      </c>
      <c r="H19" s="22" t="s">
        <v>331</v>
      </c>
      <c r="I19" s="22" t="s">
        <v>428</v>
      </c>
    </row>
    <row r="20" spans="1:9" s="15" customFormat="1" ht="15.75" customHeight="1" x14ac:dyDescent="0.25">
      <c r="A20" s="21">
        <v>19</v>
      </c>
      <c r="B20" s="22" t="s">
        <v>429</v>
      </c>
      <c r="C20" s="22" t="s">
        <v>430</v>
      </c>
      <c r="D20" s="22" t="s">
        <v>373</v>
      </c>
      <c r="E20" s="22" t="s">
        <v>374</v>
      </c>
      <c r="F20" s="23">
        <v>45129</v>
      </c>
      <c r="G20" s="24" t="s">
        <v>431</v>
      </c>
      <c r="H20" s="25" t="s">
        <v>336</v>
      </c>
      <c r="I20" s="22" t="s">
        <v>432</v>
      </c>
    </row>
    <row r="21" spans="1:9" s="15" customFormat="1" ht="15.75" customHeight="1" x14ac:dyDescent="0.25">
      <c r="A21" s="21">
        <v>20</v>
      </c>
      <c r="B21" s="22" t="s">
        <v>433</v>
      </c>
      <c r="C21" s="22" t="s">
        <v>434</v>
      </c>
      <c r="D21" s="22" t="s">
        <v>383</v>
      </c>
      <c r="E21" s="22" t="s">
        <v>384</v>
      </c>
      <c r="F21" s="23">
        <v>45127</v>
      </c>
      <c r="G21" s="24" t="s">
        <v>435</v>
      </c>
      <c r="H21" s="22" t="s">
        <v>329</v>
      </c>
      <c r="I21" s="27" t="s">
        <v>436</v>
      </c>
    </row>
    <row r="22" spans="1:9" s="15" customFormat="1" ht="15.75" customHeight="1" x14ac:dyDescent="0.25">
      <c r="A22" s="21">
        <v>21</v>
      </c>
      <c r="B22" s="22" t="s">
        <v>437</v>
      </c>
      <c r="C22" s="22" t="s">
        <v>438</v>
      </c>
      <c r="D22" s="22" t="s">
        <v>330</v>
      </c>
      <c r="E22" s="26" t="s">
        <v>357</v>
      </c>
      <c r="F22" s="23">
        <v>45126</v>
      </c>
      <c r="G22" s="24" t="s">
        <v>439</v>
      </c>
      <c r="H22" s="22" t="s">
        <v>331</v>
      </c>
      <c r="I22" s="22" t="s">
        <v>440</v>
      </c>
    </row>
    <row r="23" spans="1:9" s="15" customFormat="1" ht="15.75" customHeight="1" x14ac:dyDescent="0.25">
      <c r="A23" s="21">
        <v>22</v>
      </c>
      <c r="B23" s="22" t="s">
        <v>441</v>
      </c>
      <c r="C23" s="22" t="s">
        <v>442</v>
      </c>
      <c r="D23" s="22" t="s">
        <v>373</v>
      </c>
      <c r="E23" s="22" t="s">
        <v>374</v>
      </c>
      <c r="F23" s="23">
        <v>45118</v>
      </c>
      <c r="G23" s="24" t="s">
        <v>443</v>
      </c>
      <c r="H23" s="25" t="s">
        <v>336</v>
      </c>
      <c r="I23" s="22" t="s">
        <v>444</v>
      </c>
    </row>
    <row r="24" spans="1:9" s="15" customFormat="1" ht="15.75" customHeight="1" x14ac:dyDescent="0.25">
      <c r="A24" s="21">
        <v>23</v>
      </c>
      <c r="B24" s="22" t="s">
        <v>101</v>
      </c>
      <c r="C24" s="22" t="s">
        <v>177</v>
      </c>
      <c r="D24" s="22" t="s">
        <v>330</v>
      </c>
      <c r="E24" s="26" t="s">
        <v>357</v>
      </c>
      <c r="F24" s="23">
        <v>45115</v>
      </c>
      <c r="G24" s="24" t="s">
        <v>445</v>
      </c>
      <c r="H24" s="22" t="s">
        <v>331</v>
      </c>
      <c r="I24" s="22" t="s">
        <v>446</v>
      </c>
    </row>
    <row r="25" spans="1:9" s="15" customFormat="1" ht="15.75" customHeight="1" x14ac:dyDescent="0.25">
      <c r="A25" s="21">
        <v>24</v>
      </c>
      <c r="B25" s="22" t="s">
        <v>447</v>
      </c>
      <c r="C25" s="22" t="s">
        <v>448</v>
      </c>
      <c r="D25" s="22" t="s">
        <v>383</v>
      </c>
      <c r="E25" s="22" t="s">
        <v>384</v>
      </c>
      <c r="F25" s="23">
        <v>45003</v>
      </c>
      <c r="G25" s="24" t="s">
        <v>449</v>
      </c>
      <c r="H25" s="22" t="s">
        <v>329</v>
      </c>
      <c r="I25" s="22" t="s">
        <v>450</v>
      </c>
    </row>
    <row r="26" spans="1:9" s="15" customFormat="1" ht="15.75" customHeight="1" x14ac:dyDescent="0.25">
      <c r="A26" s="21">
        <v>25</v>
      </c>
      <c r="B26" s="22" t="s">
        <v>451</v>
      </c>
      <c r="C26" s="22" t="s">
        <v>452</v>
      </c>
      <c r="D26" s="28" t="s">
        <v>333</v>
      </c>
      <c r="E26" s="22" t="s">
        <v>453</v>
      </c>
      <c r="F26" s="23">
        <v>44983</v>
      </c>
      <c r="G26" s="24" t="s">
        <v>454</v>
      </c>
      <c r="H26" s="22" t="s">
        <v>329</v>
      </c>
      <c r="I26" s="22" t="s">
        <v>455</v>
      </c>
    </row>
    <row r="27" spans="1:9" s="15" customFormat="1" ht="15.75" customHeight="1" x14ac:dyDescent="0.25">
      <c r="A27" s="21">
        <v>26</v>
      </c>
      <c r="B27" s="22" t="s">
        <v>456</v>
      </c>
      <c r="C27" s="22" t="s">
        <v>457</v>
      </c>
      <c r="D27" s="22" t="s">
        <v>330</v>
      </c>
      <c r="E27" s="26" t="s">
        <v>357</v>
      </c>
      <c r="F27" s="23">
        <v>44969</v>
      </c>
      <c r="G27" s="24" t="s">
        <v>458</v>
      </c>
      <c r="H27" s="22" t="s">
        <v>331</v>
      </c>
      <c r="I27" s="22" t="s">
        <v>459</v>
      </c>
    </row>
    <row r="28" spans="1:9" s="15" customFormat="1" ht="15.75" customHeight="1" x14ac:dyDescent="0.25">
      <c r="A28" s="21">
        <v>27</v>
      </c>
      <c r="B28" s="22" t="s">
        <v>460</v>
      </c>
      <c r="C28" s="22" t="s">
        <v>461</v>
      </c>
      <c r="D28" s="22" t="s">
        <v>330</v>
      </c>
      <c r="E28" s="26" t="s">
        <v>357</v>
      </c>
      <c r="F28" s="23">
        <v>44941</v>
      </c>
      <c r="G28" s="24" t="s">
        <v>462</v>
      </c>
      <c r="H28" s="22" t="s">
        <v>331</v>
      </c>
      <c r="I28" s="27" t="s">
        <v>359</v>
      </c>
    </row>
    <row r="29" spans="1:9" s="15" customFormat="1" ht="15.75" customHeight="1" x14ac:dyDescent="0.25">
      <c r="A29" s="21">
        <v>28</v>
      </c>
      <c r="B29" s="29" t="s">
        <v>463</v>
      </c>
      <c r="C29" s="25" t="s">
        <v>464</v>
      </c>
      <c r="D29" s="25" t="s">
        <v>330</v>
      </c>
      <c r="E29" s="26" t="s">
        <v>357</v>
      </c>
      <c r="F29" s="23">
        <v>44896</v>
      </c>
      <c r="G29" s="24" t="s">
        <v>465</v>
      </c>
      <c r="H29" s="22" t="s">
        <v>331</v>
      </c>
      <c r="I29" s="22" t="s">
        <v>466</v>
      </c>
    </row>
    <row r="30" spans="1:9" s="15" customFormat="1" ht="15.75" customHeight="1" x14ac:dyDescent="0.25">
      <c r="A30" s="21">
        <v>29</v>
      </c>
      <c r="B30" s="22" t="s">
        <v>157</v>
      </c>
      <c r="C30" s="22" t="s">
        <v>176</v>
      </c>
      <c r="D30" s="28" t="s">
        <v>339</v>
      </c>
      <c r="E30" s="22" t="s">
        <v>467</v>
      </c>
      <c r="F30" s="23">
        <v>44896</v>
      </c>
      <c r="G30" s="24" t="s">
        <v>468</v>
      </c>
      <c r="H30" s="22" t="s">
        <v>329</v>
      </c>
      <c r="I30" s="22" t="s">
        <v>469</v>
      </c>
    </row>
    <row r="31" spans="1:9" s="15" customFormat="1" ht="15.75" customHeight="1" x14ac:dyDescent="0.25">
      <c r="A31" s="21">
        <v>30</v>
      </c>
      <c r="B31" s="22" t="s">
        <v>470</v>
      </c>
      <c r="C31" s="22" t="s">
        <v>471</v>
      </c>
      <c r="D31" s="22" t="s">
        <v>383</v>
      </c>
      <c r="E31" s="22" t="s">
        <v>384</v>
      </c>
      <c r="F31" s="23">
        <v>44893</v>
      </c>
      <c r="G31" s="24" t="s">
        <v>472</v>
      </c>
      <c r="H31" s="22" t="s">
        <v>329</v>
      </c>
      <c r="I31" s="22" t="s">
        <v>473</v>
      </c>
    </row>
    <row r="32" spans="1:9" s="15" customFormat="1" ht="15.75" customHeight="1" x14ac:dyDescent="0.25">
      <c r="A32" s="21">
        <v>31</v>
      </c>
      <c r="B32" s="22" t="s">
        <v>474</v>
      </c>
      <c r="C32" s="22" t="s">
        <v>475</v>
      </c>
      <c r="D32" s="22" t="s">
        <v>476</v>
      </c>
      <c r="E32" s="22" t="s">
        <v>477</v>
      </c>
      <c r="F32" s="23">
        <v>44510</v>
      </c>
      <c r="G32" s="24" t="s">
        <v>478</v>
      </c>
      <c r="H32" s="25" t="s">
        <v>336</v>
      </c>
      <c r="I32" s="22" t="s">
        <v>479</v>
      </c>
    </row>
    <row r="33" spans="1:9" s="15" customFormat="1" ht="15.75" customHeight="1" x14ac:dyDescent="0.25">
      <c r="A33" s="21">
        <v>32</v>
      </c>
      <c r="B33" s="22" t="s">
        <v>148</v>
      </c>
      <c r="C33" s="22" t="s">
        <v>163</v>
      </c>
      <c r="D33" s="28" t="s">
        <v>333</v>
      </c>
      <c r="E33" s="22" t="s">
        <v>453</v>
      </c>
      <c r="F33" s="23">
        <v>44476</v>
      </c>
      <c r="G33" s="24" t="s">
        <v>480</v>
      </c>
      <c r="H33" s="22" t="s">
        <v>329</v>
      </c>
      <c r="I33" s="22" t="s">
        <v>481</v>
      </c>
    </row>
    <row r="34" spans="1:9" s="15" customFormat="1" ht="15.75" customHeight="1" x14ac:dyDescent="0.25">
      <c r="A34" s="21">
        <v>33</v>
      </c>
      <c r="B34" s="22" t="s">
        <v>482</v>
      </c>
      <c r="C34" s="22" t="s">
        <v>483</v>
      </c>
      <c r="D34" s="28" t="s">
        <v>483</v>
      </c>
      <c r="E34" s="22" t="s">
        <v>484</v>
      </c>
      <c r="F34" s="23">
        <v>44058</v>
      </c>
      <c r="G34" s="24" t="s">
        <v>485</v>
      </c>
      <c r="H34" s="22" t="s">
        <v>334</v>
      </c>
      <c r="I34" s="22" t="s">
        <v>486</v>
      </c>
    </row>
    <row r="35" spans="1:9" s="15" customFormat="1" ht="15.75" customHeight="1" x14ac:dyDescent="0.25">
      <c r="A35" s="21">
        <v>34</v>
      </c>
      <c r="B35" s="22" t="s">
        <v>487</v>
      </c>
      <c r="C35" s="22" t="s">
        <v>488</v>
      </c>
      <c r="D35" s="28" t="s">
        <v>489</v>
      </c>
      <c r="E35" s="22" t="s">
        <v>490</v>
      </c>
      <c r="F35" s="23">
        <v>43642</v>
      </c>
      <c r="G35" s="24" t="s">
        <v>491</v>
      </c>
      <c r="H35" s="22" t="s">
        <v>334</v>
      </c>
      <c r="I35" s="22" t="s">
        <v>492</v>
      </c>
    </row>
    <row r="36" spans="1:9" s="15" customFormat="1" ht="15.75" customHeight="1" x14ac:dyDescent="0.25">
      <c r="A36" s="21">
        <v>35</v>
      </c>
      <c r="B36" s="22" t="s">
        <v>493</v>
      </c>
      <c r="C36" s="22" t="s">
        <v>494</v>
      </c>
      <c r="D36" s="22" t="s">
        <v>373</v>
      </c>
      <c r="E36" s="22" t="s">
        <v>374</v>
      </c>
      <c r="F36" s="23">
        <v>43490</v>
      </c>
      <c r="G36" s="24" t="s">
        <v>495</v>
      </c>
      <c r="H36" s="25" t="s">
        <v>336</v>
      </c>
      <c r="I36" s="22" t="s">
        <v>496</v>
      </c>
    </row>
    <row r="37" spans="1:9" s="15" customFormat="1" ht="15.75" customHeight="1" x14ac:dyDescent="0.25">
      <c r="A37" s="21">
        <v>36</v>
      </c>
      <c r="B37" s="22" t="s">
        <v>497</v>
      </c>
      <c r="C37" s="22" t="s">
        <v>498</v>
      </c>
      <c r="D37" s="28" t="s">
        <v>335</v>
      </c>
      <c r="E37" s="22" t="s">
        <v>352</v>
      </c>
      <c r="F37" s="23">
        <v>43400</v>
      </c>
      <c r="G37" s="24" t="s">
        <v>499</v>
      </c>
      <c r="H37" s="25" t="s">
        <v>336</v>
      </c>
      <c r="I37" s="22" t="s">
        <v>500</v>
      </c>
    </row>
    <row r="38" spans="1:9" s="15" customFormat="1" ht="15.75" customHeight="1" x14ac:dyDescent="0.25">
      <c r="A38" s="21">
        <v>37</v>
      </c>
      <c r="B38" s="22" t="s">
        <v>501</v>
      </c>
      <c r="C38" s="22" t="s">
        <v>502</v>
      </c>
      <c r="D38" s="22" t="s">
        <v>383</v>
      </c>
      <c r="E38" s="22" t="s">
        <v>384</v>
      </c>
      <c r="F38" s="23">
        <v>43350</v>
      </c>
      <c r="G38" s="24" t="s">
        <v>503</v>
      </c>
      <c r="H38" s="22" t="s">
        <v>329</v>
      </c>
      <c r="I38" s="22" t="s">
        <v>504</v>
      </c>
    </row>
    <row r="39" spans="1:9" s="15" customFormat="1" ht="15.75" customHeight="1" x14ac:dyDescent="0.25">
      <c r="A39" s="21">
        <v>38</v>
      </c>
      <c r="B39" s="25" t="s">
        <v>6</v>
      </c>
      <c r="C39" s="25" t="s">
        <v>175</v>
      </c>
      <c r="D39" s="25" t="s">
        <v>330</v>
      </c>
      <c r="E39" s="26" t="s">
        <v>357</v>
      </c>
      <c r="F39" s="23">
        <v>43308</v>
      </c>
      <c r="G39" s="24" t="s">
        <v>505</v>
      </c>
      <c r="H39" s="22" t="s">
        <v>331</v>
      </c>
      <c r="I39" s="22" t="s">
        <v>506</v>
      </c>
    </row>
    <row r="40" spans="1:9" s="15" customFormat="1" ht="15.75" customHeight="1" x14ac:dyDescent="0.25">
      <c r="A40" s="21">
        <v>39</v>
      </c>
      <c r="B40" s="22" t="s">
        <v>507</v>
      </c>
      <c r="C40" s="22" t="s">
        <v>508</v>
      </c>
      <c r="D40" s="22" t="s">
        <v>509</v>
      </c>
      <c r="E40" s="22" t="s">
        <v>510</v>
      </c>
      <c r="F40" s="23">
        <v>43155</v>
      </c>
      <c r="G40" s="24" t="s">
        <v>511</v>
      </c>
      <c r="H40" s="22" t="s">
        <v>334</v>
      </c>
      <c r="I40" s="22" t="s">
        <v>512</v>
      </c>
    </row>
    <row r="41" spans="1:9" s="15" customFormat="1" ht="15.75" customHeight="1" x14ac:dyDescent="0.25">
      <c r="A41" s="21">
        <v>40</v>
      </c>
      <c r="B41" s="22" t="s">
        <v>152</v>
      </c>
      <c r="C41" s="22" t="s">
        <v>169</v>
      </c>
      <c r="D41" s="28" t="s">
        <v>340</v>
      </c>
      <c r="E41" s="22" t="s">
        <v>513</v>
      </c>
      <c r="F41" s="23">
        <v>43105</v>
      </c>
      <c r="G41" s="24" t="s">
        <v>514</v>
      </c>
      <c r="H41" s="25" t="s">
        <v>336</v>
      </c>
      <c r="I41" s="22" t="s">
        <v>515</v>
      </c>
    </row>
    <row r="42" spans="1:9" s="15" customFormat="1" ht="15.75" customHeight="1" x14ac:dyDescent="0.25">
      <c r="A42" s="21">
        <v>41</v>
      </c>
      <c r="B42" s="25" t="s">
        <v>516</v>
      </c>
      <c r="C42" s="25" t="s">
        <v>517</v>
      </c>
      <c r="D42" s="25" t="s">
        <v>518</v>
      </c>
      <c r="E42" s="22" t="s">
        <v>519</v>
      </c>
      <c r="F42" s="23">
        <v>43091</v>
      </c>
      <c r="G42" s="24" t="s">
        <v>520</v>
      </c>
      <c r="H42" s="22" t="s">
        <v>334</v>
      </c>
      <c r="I42" s="22" t="s">
        <v>521</v>
      </c>
    </row>
    <row r="43" spans="1:9" s="15" customFormat="1" ht="15.75" customHeight="1" x14ac:dyDescent="0.25">
      <c r="A43" s="21">
        <v>42</v>
      </c>
      <c r="B43" s="22" t="s">
        <v>156</v>
      </c>
      <c r="C43" s="22" t="s">
        <v>174</v>
      </c>
      <c r="D43" s="28" t="s">
        <v>341</v>
      </c>
      <c r="E43" s="22" t="s">
        <v>510</v>
      </c>
      <c r="F43" s="23">
        <v>43079</v>
      </c>
      <c r="G43" s="24" t="s">
        <v>522</v>
      </c>
      <c r="H43" s="22" t="s">
        <v>334</v>
      </c>
      <c r="I43" s="22" t="s">
        <v>523</v>
      </c>
    </row>
    <row r="44" spans="1:9" s="15" customFormat="1" ht="15.75" customHeight="1" x14ac:dyDescent="0.25">
      <c r="A44" s="21">
        <v>43</v>
      </c>
      <c r="B44" s="22" t="s">
        <v>155</v>
      </c>
      <c r="C44" s="22" t="s">
        <v>173</v>
      </c>
      <c r="D44" s="22" t="s">
        <v>524</v>
      </c>
      <c r="E44" s="22" t="s">
        <v>525</v>
      </c>
      <c r="F44" s="23">
        <v>43065</v>
      </c>
      <c r="G44" s="24" t="s">
        <v>526</v>
      </c>
      <c r="H44" s="25" t="s">
        <v>336</v>
      </c>
      <c r="I44" s="22" t="s">
        <v>527</v>
      </c>
    </row>
    <row r="45" spans="1:9" s="15" customFormat="1" ht="15.75" customHeight="1" x14ac:dyDescent="0.25">
      <c r="A45" s="21">
        <v>44</v>
      </c>
      <c r="B45" s="22" t="s">
        <v>528</v>
      </c>
      <c r="C45" s="22" t="s">
        <v>529</v>
      </c>
      <c r="D45" s="28" t="s">
        <v>335</v>
      </c>
      <c r="E45" s="22" t="s">
        <v>352</v>
      </c>
      <c r="F45" s="23">
        <v>43025</v>
      </c>
      <c r="G45" s="24" t="s">
        <v>530</v>
      </c>
      <c r="H45" s="25" t="s">
        <v>336</v>
      </c>
      <c r="I45" s="22" t="s">
        <v>531</v>
      </c>
    </row>
    <row r="46" spans="1:9" s="15" customFormat="1" ht="15.75" customHeight="1" x14ac:dyDescent="0.25">
      <c r="A46" s="21">
        <v>45</v>
      </c>
      <c r="B46" s="22" t="s">
        <v>532</v>
      </c>
      <c r="C46" s="22" t="s">
        <v>533</v>
      </c>
      <c r="D46" s="22" t="s">
        <v>383</v>
      </c>
      <c r="E46" s="22" t="s">
        <v>384</v>
      </c>
      <c r="F46" s="23">
        <v>42822</v>
      </c>
      <c r="G46" s="24" t="s">
        <v>534</v>
      </c>
      <c r="H46" s="22" t="s">
        <v>329</v>
      </c>
      <c r="I46" s="22" t="s">
        <v>535</v>
      </c>
    </row>
    <row r="47" spans="1:9" s="15" customFormat="1" ht="15.75" customHeight="1" x14ac:dyDescent="0.25">
      <c r="A47" s="21">
        <v>46</v>
      </c>
      <c r="B47" s="22" t="s">
        <v>89</v>
      </c>
      <c r="C47" s="22" t="s">
        <v>172</v>
      </c>
      <c r="D47" s="22" t="s">
        <v>328</v>
      </c>
      <c r="E47" s="22" t="s">
        <v>384</v>
      </c>
      <c r="F47" s="23">
        <v>42500</v>
      </c>
      <c r="G47" s="24" t="s">
        <v>536</v>
      </c>
      <c r="H47" s="22" t="s">
        <v>329</v>
      </c>
      <c r="I47" s="22" t="s">
        <v>537</v>
      </c>
    </row>
    <row r="48" spans="1:9" s="15" customFormat="1" ht="15.75" customHeight="1" x14ac:dyDescent="0.25">
      <c r="A48" s="21">
        <v>47</v>
      </c>
      <c r="B48" s="22" t="s">
        <v>538</v>
      </c>
      <c r="C48" s="22" t="s">
        <v>539</v>
      </c>
      <c r="D48" s="22" t="s">
        <v>383</v>
      </c>
      <c r="E48" s="22" t="s">
        <v>384</v>
      </c>
      <c r="F48" s="23">
        <v>42387</v>
      </c>
      <c r="G48" s="24" t="s">
        <v>540</v>
      </c>
      <c r="H48" s="22" t="s">
        <v>329</v>
      </c>
      <c r="I48" s="22" t="s">
        <v>541</v>
      </c>
    </row>
    <row r="49" spans="1:9" s="15" customFormat="1" ht="15.75" customHeight="1" x14ac:dyDescent="0.25">
      <c r="A49" s="21">
        <v>48</v>
      </c>
      <c r="B49" s="22" t="s">
        <v>542</v>
      </c>
      <c r="C49" s="22" t="s">
        <v>543</v>
      </c>
      <c r="D49" s="22" t="s">
        <v>383</v>
      </c>
      <c r="E49" s="22" t="s">
        <v>384</v>
      </c>
      <c r="F49" s="23">
        <v>42386</v>
      </c>
      <c r="G49" s="24" t="s">
        <v>544</v>
      </c>
      <c r="H49" s="22" t="s">
        <v>329</v>
      </c>
      <c r="I49" s="22" t="s">
        <v>545</v>
      </c>
    </row>
    <row r="50" spans="1:9" s="15" customFormat="1" ht="15.75" customHeight="1" x14ac:dyDescent="0.25">
      <c r="A50" s="21">
        <v>49</v>
      </c>
      <c r="B50" s="22" t="s">
        <v>546</v>
      </c>
      <c r="C50" s="22" t="s">
        <v>547</v>
      </c>
      <c r="D50" s="22" t="s">
        <v>509</v>
      </c>
      <c r="E50" s="22" t="s">
        <v>510</v>
      </c>
      <c r="F50" s="23">
        <v>42361</v>
      </c>
      <c r="G50" s="24" t="s">
        <v>548</v>
      </c>
      <c r="H50" s="22" t="s">
        <v>334</v>
      </c>
      <c r="I50" s="22" t="s">
        <v>549</v>
      </c>
    </row>
    <row r="51" spans="1:9" s="15" customFormat="1" ht="15.75" customHeight="1" x14ac:dyDescent="0.25">
      <c r="A51" s="21">
        <v>50</v>
      </c>
      <c r="B51" s="22" t="s">
        <v>154</v>
      </c>
      <c r="C51" s="22" t="s">
        <v>171</v>
      </c>
      <c r="D51" s="28" t="s">
        <v>335</v>
      </c>
      <c r="E51" s="22" t="s">
        <v>352</v>
      </c>
      <c r="F51" s="23">
        <v>42200</v>
      </c>
      <c r="G51" s="24" t="s">
        <v>550</v>
      </c>
      <c r="H51" s="25" t="s">
        <v>336</v>
      </c>
      <c r="I51" s="22" t="s">
        <v>551</v>
      </c>
    </row>
    <row r="52" spans="1:9" s="15" customFormat="1" ht="15.75" customHeight="1" x14ac:dyDescent="0.25">
      <c r="A52" s="21">
        <v>51</v>
      </c>
      <c r="B52" s="22" t="s">
        <v>153</v>
      </c>
      <c r="C52" s="22" t="s">
        <v>170</v>
      </c>
      <c r="D52" s="28" t="s">
        <v>170</v>
      </c>
      <c r="E52" s="22" t="s">
        <v>484</v>
      </c>
      <c r="F52" s="23">
        <v>41985</v>
      </c>
      <c r="G52" s="24" t="s">
        <v>552</v>
      </c>
      <c r="H52" s="22" t="s">
        <v>334</v>
      </c>
      <c r="I52" s="22" t="s">
        <v>553</v>
      </c>
    </row>
    <row r="53" spans="1:9" s="15" customFormat="1" ht="15.75" customHeight="1" x14ac:dyDescent="0.25">
      <c r="A53" s="21">
        <v>52</v>
      </c>
      <c r="B53" s="22" t="s">
        <v>554</v>
      </c>
      <c r="C53" s="22" t="s">
        <v>555</v>
      </c>
      <c r="D53" s="22" t="s">
        <v>509</v>
      </c>
      <c r="E53" s="22" t="s">
        <v>510</v>
      </c>
      <c r="F53" s="23">
        <v>41684</v>
      </c>
      <c r="G53" s="24" t="s">
        <v>556</v>
      </c>
      <c r="H53" s="22" t="s">
        <v>334</v>
      </c>
      <c r="I53" s="22" t="s">
        <v>557</v>
      </c>
    </row>
    <row r="54" spans="1:9" s="15" customFormat="1" ht="15.75" customHeight="1" x14ac:dyDescent="0.25">
      <c r="A54" s="21">
        <v>53</v>
      </c>
      <c r="B54" s="22" t="s">
        <v>558</v>
      </c>
      <c r="C54" s="22" t="s">
        <v>559</v>
      </c>
      <c r="D54" s="22" t="s">
        <v>509</v>
      </c>
      <c r="E54" s="22" t="s">
        <v>510</v>
      </c>
      <c r="F54" s="23">
        <v>41671</v>
      </c>
      <c r="G54" s="24" t="s">
        <v>560</v>
      </c>
      <c r="H54" s="22" t="s">
        <v>334</v>
      </c>
      <c r="I54" s="22" t="s">
        <v>561</v>
      </c>
    </row>
    <row r="55" spans="1:9" s="15" customFormat="1" ht="15.75" customHeight="1" x14ac:dyDescent="0.25">
      <c r="A55" s="21">
        <v>54</v>
      </c>
      <c r="B55" s="22" t="s">
        <v>562</v>
      </c>
      <c r="C55" s="22" t="s">
        <v>563</v>
      </c>
      <c r="D55" s="28" t="s">
        <v>564</v>
      </c>
      <c r="E55" s="22" t="s">
        <v>513</v>
      </c>
      <c r="F55" s="23">
        <v>41405</v>
      </c>
      <c r="G55" s="24" t="s">
        <v>565</v>
      </c>
      <c r="H55" s="25" t="s">
        <v>336</v>
      </c>
      <c r="I55" s="22" t="s">
        <v>566</v>
      </c>
    </row>
    <row r="56" spans="1:9" s="15" customFormat="1" ht="15.75" customHeight="1" x14ac:dyDescent="0.25">
      <c r="A56" s="21">
        <v>55</v>
      </c>
      <c r="B56" s="22" t="s">
        <v>567</v>
      </c>
      <c r="C56" s="22" t="s">
        <v>172</v>
      </c>
      <c r="D56" s="22" t="s">
        <v>415</v>
      </c>
      <c r="E56" s="22" t="s">
        <v>416</v>
      </c>
      <c r="F56" s="23">
        <v>41298</v>
      </c>
      <c r="G56" s="24" t="s">
        <v>568</v>
      </c>
      <c r="H56" s="22" t="s">
        <v>331</v>
      </c>
      <c r="I56" s="22" t="s">
        <v>569</v>
      </c>
    </row>
    <row r="57" spans="1:9" s="15" customFormat="1" ht="15.75" customHeight="1" x14ac:dyDescent="0.25">
      <c r="A57" s="21">
        <v>56</v>
      </c>
      <c r="B57" s="30" t="s">
        <v>570</v>
      </c>
      <c r="C57" s="30" t="s">
        <v>172</v>
      </c>
      <c r="D57" s="25" t="s">
        <v>330</v>
      </c>
      <c r="E57" s="26" t="s">
        <v>357</v>
      </c>
      <c r="F57" s="23">
        <v>41195</v>
      </c>
      <c r="G57" s="24" t="s">
        <v>571</v>
      </c>
      <c r="H57" s="22" t="s">
        <v>331</v>
      </c>
      <c r="I57" s="22" t="s">
        <v>572</v>
      </c>
    </row>
    <row r="58" spans="1:9" s="15" customFormat="1" ht="15.75" customHeight="1" x14ac:dyDescent="0.25">
      <c r="A58" s="21">
        <v>57</v>
      </c>
      <c r="B58" s="22" t="s">
        <v>573</v>
      </c>
      <c r="C58" s="22" t="s">
        <v>574</v>
      </c>
      <c r="D58" s="28" t="s">
        <v>489</v>
      </c>
      <c r="E58" s="22" t="s">
        <v>490</v>
      </c>
      <c r="F58" s="23">
        <v>41031</v>
      </c>
      <c r="G58" s="24" t="s">
        <v>575</v>
      </c>
      <c r="H58" s="22" t="s">
        <v>334</v>
      </c>
      <c r="I58" s="22" t="s">
        <v>576</v>
      </c>
    </row>
    <row r="59" spans="1:9" s="15" customFormat="1" ht="15.75" customHeight="1" x14ac:dyDescent="0.25">
      <c r="A59" s="21">
        <v>58</v>
      </c>
      <c r="B59" s="22" t="s">
        <v>577</v>
      </c>
      <c r="C59" s="22" t="s">
        <v>578</v>
      </c>
      <c r="D59" s="22" t="s">
        <v>328</v>
      </c>
      <c r="E59" s="22" t="s">
        <v>384</v>
      </c>
      <c r="F59" s="23">
        <v>40905</v>
      </c>
      <c r="G59" s="24" t="s">
        <v>579</v>
      </c>
      <c r="H59" s="22" t="s">
        <v>329</v>
      </c>
      <c r="I59" s="22" t="s">
        <v>580</v>
      </c>
    </row>
    <row r="60" spans="1:9" s="15" customFormat="1" ht="15.75" customHeight="1" x14ac:dyDescent="0.25">
      <c r="A60" s="21">
        <v>59</v>
      </c>
      <c r="B60" s="22" t="s">
        <v>151</v>
      </c>
      <c r="C60" s="22" t="s">
        <v>168</v>
      </c>
      <c r="D60" s="28" t="s">
        <v>581</v>
      </c>
      <c r="E60" s="22" t="s">
        <v>510</v>
      </c>
      <c r="F60" s="23">
        <v>40761</v>
      </c>
      <c r="G60" s="24" t="s">
        <v>582</v>
      </c>
      <c r="H60" s="22" t="s">
        <v>334</v>
      </c>
      <c r="I60" s="22" t="s">
        <v>583</v>
      </c>
    </row>
    <row r="61" spans="1:9" s="15" customFormat="1" ht="15.75" customHeight="1" x14ac:dyDescent="0.25">
      <c r="A61" s="21">
        <v>60</v>
      </c>
      <c r="B61" s="22" t="s">
        <v>584</v>
      </c>
      <c r="C61" s="22" t="s">
        <v>585</v>
      </c>
      <c r="D61" s="22" t="s">
        <v>415</v>
      </c>
      <c r="E61" s="22" t="s">
        <v>416</v>
      </c>
      <c r="F61" s="23">
        <v>40411</v>
      </c>
      <c r="G61" s="24" t="s">
        <v>586</v>
      </c>
      <c r="H61" s="22" t="s">
        <v>331</v>
      </c>
      <c r="I61" s="22" t="s">
        <v>587</v>
      </c>
    </row>
    <row r="62" spans="1:9" s="15" customFormat="1" ht="15.75" customHeight="1" x14ac:dyDescent="0.25">
      <c r="A62" s="21">
        <v>61</v>
      </c>
      <c r="B62" s="22" t="s">
        <v>588</v>
      </c>
      <c r="C62" s="22" t="s">
        <v>589</v>
      </c>
      <c r="D62" s="22" t="s">
        <v>415</v>
      </c>
      <c r="E62" s="22" t="s">
        <v>416</v>
      </c>
      <c r="F62" s="23">
        <v>40367</v>
      </c>
      <c r="G62" s="24" t="s">
        <v>590</v>
      </c>
      <c r="H62" s="22" t="s">
        <v>331</v>
      </c>
      <c r="I62" s="22" t="s">
        <v>591</v>
      </c>
    </row>
    <row r="63" spans="1:9" s="15" customFormat="1" ht="15.75" customHeight="1" x14ac:dyDescent="0.25">
      <c r="A63" s="21">
        <v>62</v>
      </c>
      <c r="B63" s="22" t="s">
        <v>592</v>
      </c>
      <c r="C63" s="22" t="s">
        <v>593</v>
      </c>
      <c r="D63" s="28" t="s">
        <v>594</v>
      </c>
      <c r="E63" s="22" t="s">
        <v>453</v>
      </c>
      <c r="F63" s="23">
        <v>40348</v>
      </c>
      <c r="G63" s="24" t="s">
        <v>595</v>
      </c>
      <c r="H63" s="22" t="s">
        <v>329</v>
      </c>
      <c r="I63" s="22" t="s">
        <v>596</v>
      </c>
    </row>
    <row r="64" spans="1:9" s="15" customFormat="1" ht="15.75" customHeight="1" x14ac:dyDescent="0.25">
      <c r="A64" s="21">
        <v>63</v>
      </c>
      <c r="B64" s="22" t="s">
        <v>597</v>
      </c>
      <c r="C64" s="22" t="s">
        <v>598</v>
      </c>
      <c r="D64" s="22" t="s">
        <v>509</v>
      </c>
      <c r="E64" s="22" t="s">
        <v>510</v>
      </c>
      <c r="F64" s="23">
        <v>40166</v>
      </c>
      <c r="G64" s="24" t="s">
        <v>599</v>
      </c>
      <c r="H64" s="22" t="s">
        <v>334</v>
      </c>
      <c r="I64" s="22" t="s">
        <v>600</v>
      </c>
    </row>
    <row r="65" spans="1:9" s="15" customFormat="1" ht="15.75" customHeight="1" x14ac:dyDescent="0.25">
      <c r="A65" s="21">
        <v>64</v>
      </c>
      <c r="B65" s="22" t="s">
        <v>601</v>
      </c>
      <c r="C65" s="22" t="s">
        <v>602</v>
      </c>
      <c r="D65" s="22" t="s">
        <v>373</v>
      </c>
      <c r="E65" s="22" t="s">
        <v>374</v>
      </c>
      <c r="F65" s="23">
        <v>40067</v>
      </c>
      <c r="G65" s="24" t="s">
        <v>603</v>
      </c>
      <c r="H65" s="25" t="s">
        <v>336</v>
      </c>
      <c r="I65" s="22" t="s">
        <v>604</v>
      </c>
    </row>
    <row r="66" spans="1:9" s="15" customFormat="1" ht="15.75" customHeight="1" x14ac:dyDescent="0.25">
      <c r="A66" s="21">
        <v>65</v>
      </c>
      <c r="B66" s="22" t="s">
        <v>605</v>
      </c>
      <c r="C66" s="22" t="s">
        <v>606</v>
      </c>
      <c r="D66" s="22" t="s">
        <v>383</v>
      </c>
      <c r="E66" s="22" t="s">
        <v>384</v>
      </c>
      <c r="F66" s="23">
        <v>40034</v>
      </c>
      <c r="G66" s="24" t="s">
        <v>607</v>
      </c>
      <c r="H66" s="22" t="s">
        <v>329</v>
      </c>
      <c r="I66" s="22" t="s">
        <v>608</v>
      </c>
    </row>
    <row r="67" spans="1:9" s="15" customFormat="1" ht="15.75" customHeight="1" x14ac:dyDescent="0.25">
      <c r="A67" s="21">
        <v>66</v>
      </c>
      <c r="B67" s="25" t="s">
        <v>609</v>
      </c>
      <c r="C67" s="25" t="s">
        <v>610</v>
      </c>
      <c r="D67" s="25" t="s">
        <v>330</v>
      </c>
      <c r="E67" s="26" t="s">
        <v>357</v>
      </c>
      <c r="F67" s="23">
        <v>40012</v>
      </c>
      <c r="G67" s="24" t="s">
        <v>611</v>
      </c>
      <c r="H67" s="22" t="s">
        <v>331</v>
      </c>
      <c r="I67" s="22" t="s">
        <v>612</v>
      </c>
    </row>
    <row r="68" spans="1:9" s="15" customFormat="1" ht="15.75" customHeight="1" x14ac:dyDescent="0.25">
      <c r="A68" s="21">
        <v>67</v>
      </c>
      <c r="B68" s="25" t="s">
        <v>117</v>
      </c>
      <c r="C68" s="25" t="s">
        <v>167</v>
      </c>
      <c r="D68" s="25" t="s">
        <v>330</v>
      </c>
      <c r="E68" s="26" t="s">
        <v>357</v>
      </c>
      <c r="F68" s="23">
        <v>39899</v>
      </c>
      <c r="G68" s="24" t="s">
        <v>613</v>
      </c>
      <c r="H68" s="22" t="s">
        <v>331</v>
      </c>
      <c r="I68" s="22" t="s">
        <v>614</v>
      </c>
    </row>
    <row r="69" spans="1:9" s="15" customFormat="1" ht="15.75" customHeight="1" x14ac:dyDescent="0.25">
      <c r="A69" s="21">
        <v>68</v>
      </c>
      <c r="B69" s="22" t="s">
        <v>125</v>
      </c>
      <c r="C69" s="22" t="s">
        <v>166</v>
      </c>
      <c r="D69" s="22" t="s">
        <v>332</v>
      </c>
      <c r="E69" s="22" t="s">
        <v>332</v>
      </c>
      <c r="F69" s="23">
        <v>39780</v>
      </c>
      <c r="G69" s="24" t="s">
        <v>615</v>
      </c>
      <c r="H69" s="22" t="s">
        <v>331</v>
      </c>
      <c r="I69" s="22" t="s">
        <v>616</v>
      </c>
    </row>
    <row r="70" spans="1:9" s="15" customFormat="1" ht="15.75" customHeight="1" x14ac:dyDescent="0.25">
      <c r="A70" s="21">
        <v>69</v>
      </c>
      <c r="B70" s="22" t="s">
        <v>617</v>
      </c>
      <c r="C70" s="22" t="s">
        <v>618</v>
      </c>
      <c r="D70" s="22" t="s">
        <v>509</v>
      </c>
      <c r="E70" s="22" t="s">
        <v>510</v>
      </c>
      <c r="F70" s="23">
        <v>39759</v>
      </c>
      <c r="G70" s="24" t="s">
        <v>619</v>
      </c>
      <c r="H70" s="22" t="s">
        <v>334</v>
      </c>
      <c r="I70" s="22" t="s">
        <v>620</v>
      </c>
    </row>
    <row r="71" spans="1:9" s="15" customFormat="1" ht="15.75" customHeight="1" x14ac:dyDescent="0.25">
      <c r="A71" s="21">
        <v>70</v>
      </c>
      <c r="B71" s="22" t="s">
        <v>621</v>
      </c>
      <c r="C71" s="22" t="s">
        <v>622</v>
      </c>
      <c r="D71" s="22" t="s">
        <v>415</v>
      </c>
      <c r="E71" s="22" t="s">
        <v>416</v>
      </c>
      <c r="F71" s="23">
        <v>39722</v>
      </c>
      <c r="G71" s="24" t="s">
        <v>623</v>
      </c>
      <c r="H71" s="22" t="s">
        <v>331</v>
      </c>
      <c r="I71" s="22" t="s">
        <v>624</v>
      </c>
    </row>
    <row r="72" spans="1:9" s="15" customFormat="1" ht="15.75" customHeight="1" x14ac:dyDescent="0.25">
      <c r="A72" s="21">
        <v>71</v>
      </c>
      <c r="B72" s="25" t="s">
        <v>625</v>
      </c>
      <c r="C72" s="25" t="s">
        <v>626</v>
      </c>
      <c r="D72" s="25" t="s">
        <v>626</v>
      </c>
      <c r="E72" s="26" t="s">
        <v>357</v>
      </c>
      <c r="F72" s="23">
        <v>39597</v>
      </c>
      <c r="G72" s="24" t="s">
        <v>627</v>
      </c>
      <c r="H72" s="22" t="s">
        <v>331</v>
      </c>
      <c r="I72" s="22" t="s">
        <v>628</v>
      </c>
    </row>
    <row r="73" spans="1:9" s="15" customFormat="1" ht="15.75" customHeight="1" x14ac:dyDescent="0.25">
      <c r="A73" s="21">
        <v>72</v>
      </c>
      <c r="B73" s="22" t="s">
        <v>629</v>
      </c>
      <c r="C73" s="22" t="s">
        <v>630</v>
      </c>
      <c r="D73" s="22" t="s">
        <v>509</v>
      </c>
      <c r="E73" s="22" t="s">
        <v>510</v>
      </c>
      <c r="F73" s="23">
        <v>39464</v>
      </c>
      <c r="G73" s="24" t="s">
        <v>631</v>
      </c>
      <c r="H73" s="22" t="s">
        <v>334</v>
      </c>
      <c r="I73" s="22" t="s">
        <v>632</v>
      </c>
    </row>
    <row r="74" spans="1:9" s="15" customFormat="1" ht="15.75" customHeight="1" x14ac:dyDescent="0.25">
      <c r="A74" s="21">
        <v>73</v>
      </c>
      <c r="B74" s="22" t="s">
        <v>150</v>
      </c>
      <c r="C74" s="22" t="s">
        <v>165</v>
      </c>
      <c r="D74" s="22" t="s">
        <v>328</v>
      </c>
      <c r="E74" s="22" t="s">
        <v>384</v>
      </c>
      <c r="F74" s="23">
        <v>39368</v>
      </c>
      <c r="G74" s="24" t="s">
        <v>633</v>
      </c>
      <c r="H74" s="22" t="s">
        <v>329</v>
      </c>
      <c r="I74" s="22" t="s">
        <v>634</v>
      </c>
    </row>
    <row r="75" spans="1:9" s="15" customFormat="1" ht="15.75" customHeight="1" x14ac:dyDescent="0.25">
      <c r="A75" s="21">
        <v>74</v>
      </c>
      <c r="B75" s="22" t="s">
        <v>635</v>
      </c>
      <c r="C75" s="22" t="s">
        <v>636</v>
      </c>
      <c r="D75" s="28" t="s">
        <v>637</v>
      </c>
      <c r="E75" s="22" t="s">
        <v>638</v>
      </c>
      <c r="F75" s="23">
        <v>39326</v>
      </c>
      <c r="G75" s="24" t="s">
        <v>639</v>
      </c>
      <c r="H75" s="22" t="s">
        <v>334</v>
      </c>
      <c r="I75" s="22" t="s">
        <v>640</v>
      </c>
    </row>
    <row r="76" spans="1:9" s="15" customFormat="1" ht="15.75" customHeight="1" x14ac:dyDescent="0.25">
      <c r="A76" s="21">
        <v>75</v>
      </c>
      <c r="B76" s="25" t="s">
        <v>641</v>
      </c>
      <c r="C76" s="25" t="s">
        <v>642</v>
      </c>
      <c r="D76" s="25" t="s">
        <v>330</v>
      </c>
      <c r="E76" s="26" t="s">
        <v>357</v>
      </c>
      <c r="F76" s="23">
        <v>39287</v>
      </c>
      <c r="G76" s="24" t="s">
        <v>643</v>
      </c>
      <c r="H76" s="22" t="s">
        <v>331</v>
      </c>
      <c r="I76" s="22" t="s">
        <v>644</v>
      </c>
    </row>
    <row r="77" spans="1:9" s="15" customFormat="1" ht="15.75" customHeight="1" x14ac:dyDescent="0.25">
      <c r="A77" s="21">
        <v>76</v>
      </c>
      <c r="B77" s="22" t="s">
        <v>149</v>
      </c>
      <c r="C77" s="22" t="s">
        <v>164</v>
      </c>
      <c r="D77" s="28" t="s">
        <v>645</v>
      </c>
      <c r="E77" s="22" t="s">
        <v>352</v>
      </c>
      <c r="F77" s="23">
        <v>39230</v>
      </c>
      <c r="G77" s="24" t="s">
        <v>646</v>
      </c>
      <c r="H77" s="25" t="s">
        <v>336</v>
      </c>
      <c r="I77" s="22" t="s">
        <v>647</v>
      </c>
    </row>
    <row r="78" spans="1:9" s="15" customFormat="1" ht="15.75" customHeight="1" x14ac:dyDescent="0.25">
      <c r="A78" s="21">
        <v>77</v>
      </c>
      <c r="B78" s="22" t="s">
        <v>648</v>
      </c>
      <c r="C78" s="22" t="s">
        <v>649</v>
      </c>
      <c r="D78" s="22" t="s">
        <v>406</v>
      </c>
      <c r="E78" s="22" t="s">
        <v>407</v>
      </c>
      <c r="F78" s="23">
        <v>39209</v>
      </c>
      <c r="G78" s="24" t="s">
        <v>650</v>
      </c>
      <c r="H78" s="25" t="s">
        <v>336</v>
      </c>
      <c r="I78" s="22" t="s">
        <v>651</v>
      </c>
    </row>
    <row r="79" spans="1:9" s="15" customFormat="1" ht="15.75" customHeight="1" x14ac:dyDescent="0.25">
      <c r="A79" s="21">
        <v>78</v>
      </c>
      <c r="B79" s="22" t="s">
        <v>652</v>
      </c>
      <c r="C79" s="22" t="s">
        <v>653</v>
      </c>
      <c r="D79" s="22" t="s">
        <v>509</v>
      </c>
      <c r="E79" s="22" t="s">
        <v>510</v>
      </c>
      <c r="F79" s="23">
        <v>39122</v>
      </c>
      <c r="G79" s="24" t="s">
        <v>654</v>
      </c>
      <c r="H79" s="22" t="s">
        <v>334</v>
      </c>
      <c r="I79" s="22" t="s">
        <v>655</v>
      </c>
    </row>
    <row r="80" spans="1:9" s="15" customFormat="1" ht="15.75" customHeight="1" x14ac:dyDescent="0.25">
      <c r="A80" s="21">
        <v>79</v>
      </c>
      <c r="B80" s="22" t="s">
        <v>656</v>
      </c>
      <c r="C80" s="22" t="s">
        <v>657</v>
      </c>
      <c r="D80" s="22" t="s">
        <v>406</v>
      </c>
      <c r="E80" s="22" t="s">
        <v>407</v>
      </c>
      <c r="F80" s="23">
        <v>39038</v>
      </c>
      <c r="G80" s="24" t="s">
        <v>658</v>
      </c>
      <c r="H80" s="25" t="s">
        <v>336</v>
      </c>
      <c r="I80" s="22" t="s">
        <v>659</v>
      </c>
    </row>
    <row r="81" spans="1:9" s="15" customFormat="1" ht="15.75" customHeight="1" x14ac:dyDescent="0.25">
      <c r="A81" s="21">
        <v>80</v>
      </c>
      <c r="B81" s="22" t="s">
        <v>660</v>
      </c>
      <c r="C81" s="22" t="s">
        <v>661</v>
      </c>
      <c r="D81" s="22" t="s">
        <v>415</v>
      </c>
      <c r="E81" s="22" t="s">
        <v>416</v>
      </c>
      <c r="F81" s="23">
        <v>39017</v>
      </c>
      <c r="G81" s="24" t="s">
        <v>662</v>
      </c>
      <c r="H81" s="22" t="s">
        <v>331</v>
      </c>
      <c r="I81" s="22" t="s">
        <v>663</v>
      </c>
    </row>
    <row r="82" spans="1:9" s="15" customFormat="1" ht="15.75" customHeight="1" x14ac:dyDescent="0.25">
      <c r="A82" s="21">
        <v>81</v>
      </c>
      <c r="B82" s="22" t="s">
        <v>147</v>
      </c>
      <c r="C82" s="22" t="s">
        <v>162</v>
      </c>
      <c r="D82" s="22" t="s">
        <v>509</v>
      </c>
      <c r="E82" s="22" t="s">
        <v>510</v>
      </c>
      <c r="F82" s="23">
        <v>39017</v>
      </c>
      <c r="G82" s="24" t="s">
        <v>664</v>
      </c>
      <c r="H82" s="22" t="s">
        <v>334</v>
      </c>
      <c r="I82" s="22" t="s">
        <v>665</v>
      </c>
    </row>
    <row r="83" spans="1:9" s="15" customFormat="1" ht="15.75" customHeight="1" x14ac:dyDescent="0.25">
      <c r="A83" s="21">
        <v>82</v>
      </c>
      <c r="B83" s="22" t="s">
        <v>666</v>
      </c>
      <c r="C83" s="22" t="s">
        <v>667</v>
      </c>
      <c r="D83" s="22" t="s">
        <v>328</v>
      </c>
      <c r="E83" s="22" t="s">
        <v>384</v>
      </c>
      <c r="F83" s="23">
        <v>38987</v>
      </c>
      <c r="G83" s="24" t="s">
        <v>668</v>
      </c>
      <c r="H83" s="22" t="s">
        <v>329</v>
      </c>
      <c r="I83" s="22" t="s">
        <v>669</v>
      </c>
    </row>
    <row r="84" spans="1:9" s="15" customFormat="1" ht="15.75" customHeight="1" x14ac:dyDescent="0.25">
      <c r="A84" s="21">
        <v>83</v>
      </c>
      <c r="B84" s="22" t="s">
        <v>670</v>
      </c>
      <c r="C84" s="22" t="s">
        <v>671</v>
      </c>
      <c r="D84" s="22" t="s">
        <v>524</v>
      </c>
      <c r="E84" s="22" t="s">
        <v>525</v>
      </c>
      <c r="F84" s="23">
        <v>38920</v>
      </c>
      <c r="G84" s="24" t="s">
        <v>672</v>
      </c>
      <c r="H84" s="25" t="s">
        <v>336</v>
      </c>
      <c r="I84" s="22" t="s">
        <v>673</v>
      </c>
    </row>
    <row r="85" spans="1:9" s="15" customFormat="1" ht="15.75" customHeight="1" x14ac:dyDescent="0.25">
      <c r="A85" s="21">
        <v>84</v>
      </c>
      <c r="B85" s="22" t="s">
        <v>674</v>
      </c>
      <c r="C85" s="22" t="s">
        <v>675</v>
      </c>
      <c r="D85" s="22" t="s">
        <v>415</v>
      </c>
      <c r="E85" s="22" t="s">
        <v>416</v>
      </c>
      <c r="F85" s="23">
        <v>38703</v>
      </c>
      <c r="G85" s="24" t="s">
        <v>676</v>
      </c>
      <c r="H85" s="22" t="s">
        <v>331</v>
      </c>
      <c r="I85" s="22" t="s">
        <v>677</v>
      </c>
    </row>
    <row r="86" spans="1:9" s="15" customFormat="1" ht="15.75" customHeight="1" x14ac:dyDescent="0.25">
      <c r="A86" s="21">
        <v>85</v>
      </c>
      <c r="B86" s="22" t="s">
        <v>678</v>
      </c>
      <c r="C86" s="22" t="s">
        <v>679</v>
      </c>
      <c r="D86" s="22" t="s">
        <v>509</v>
      </c>
      <c r="E86" s="22" t="s">
        <v>510</v>
      </c>
      <c r="F86" s="23">
        <v>38472</v>
      </c>
      <c r="G86" s="24" t="s">
        <v>680</v>
      </c>
      <c r="H86" s="22" t="s">
        <v>334</v>
      </c>
      <c r="I86" s="22" t="s">
        <v>681</v>
      </c>
    </row>
    <row r="87" spans="1:9" s="15" customFormat="1" ht="15.75" customHeight="1" x14ac:dyDescent="0.25">
      <c r="A87" s="21">
        <v>86</v>
      </c>
      <c r="B87" s="22" t="s">
        <v>682</v>
      </c>
      <c r="C87" s="22" t="s">
        <v>683</v>
      </c>
      <c r="D87" s="22" t="s">
        <v>383</v>
      </c>
      <c r="E87" s="22" t="s">
        <v>384</v>
      </c>
      <c r="F87" s="23">
        <v>38294</v>
      </c>
      <c r="G87" s="24" t="s">
        <v>684</v>
      </c>
      <c r="H87" s="22" t="s">
        <v>329</v>
      </c>
      <c r="I87" s="22" t="s">
        <v>685</v>
      </c>
    </row>
    <row r="88" spans="1:9" s="15" customFormat="1" ht="15.75" customHeight="1" x14ac:dyDescent="0.25">
      <c r="A88" s="21">
        <v>87</v>
      </c>
      <c r="B88" s="22" t="s">
        <v>686</v>
      </c>
      <c r="C88" s="22" t="s">
        <v>687</v>
      </c>
      <c r="D88" s="22" t="s">
        <v>373</v>
      </c>
      <c r="E88" s="22" t="s">
        <v>374</v>
      </c>
      <c r="F88" s="23">
        <v>38282</v>
      </c>
      <c r="G88" s="24" t="s">
        <v>688</v>
      </c>
      <c r="H88" s="25" t="s">
        <v>336</v>
      </c>
      <c r="I88" s="22" t="s">
        <v>689</v>
      </c>
    </row>
    <row r="89" spans="1:9" s="15" customFormat="1" ht="15.75" customHeight="1" x14ac:dyDescent="0.25">
      <c r="A89" s="21">
        <v>88</v>
      </c>
      <c r="B89" s="22" t="s">
        <v>690</v>
      </c>
      <c r="C89" s="22" t="s">
        <v>691</v>
      </c>
      <c r="D89" s="22" t="s">
        <v>509</v>
      </c>
      <c r="E89" s="22" t="s">
        <v>510</v>
      </c>
      <c r="F89" s="23">
        <v>38274</v>
      </c>
      <c r="G89" s="24" t="s">
        <v>692</v>
      </c>
      <c r="H89" s="22" t="s">
        <v>334</v>
      </c>
      <c r="I89" s="22" t="s">
        <v>693</v>
      </c>
    </row>
    <row r="90" spans="1:9" s="15" customFormat="1" ht="15.75" customHeight="1" x14ac:dyDescent="0.25">
      <c r="A90" s="21">
        <v>89</v>
      </c>
      <c r="B90" s="22" t="s">
        <v>694</v>
      </c>
      <c r="C90" s="22" t="s">
        <v>695</v>
      </c>
      <c r="D90" s="22" t="s">
        <v>383</v>
      </c>
      <c r="E90" s="22" t="s">
        <v>384</v>
      </c>
      <c r="F90" s="23">
        <v>38101</v>
      </c>
      <c r="G90" s="24" t="s">
        <v>696</v>
      </c>
      <c r="H90" s="22" t="s">
        <v>329</v>
      </c>
      <c r="I90" s="22" t="s">
        <v>697</v>
      </c>
    </row>
    <row r="91" spans="1:9" s="15" customFormat="1" ht="15.75" customHeight="1" x14ac:dyDescent="0.25">
      <c r="A91" s="21">
        <v>90</v>
      </c>
      <c r="B91" s="22" t="s">
        <v>698</v>
      </c>
      <c r="C91" s="22" t="s">
        <v>699</v>
      </c>
      <c r="D91" s="22" t="s">
        <v>415</v>
      </c>
      <c r="E91" s="22" t="s">
        <v>416</v>
      </c>
      <c r="F91" s="23">
        <v>38099</v>
      </c>
      <c r="G91" s="24" t="s">
        <v>700</v>
      </c>
      <c r="H91" s="22" t="s">
        <v>331</v>
      </c>
      <c r="I91" s="22" t="s">
        <v>701</v>
      </c>
    </row>
    <row r="92" spans="1:9" s="15" customFormat="1" ht="15.75" customHeight="1" x14ac:dyDescent="0.25">
      <c r="A92" s="21">
        <v>91</v>
      </c>
      <c r="B92" s="25" t="s">
        <v>702</v>
      </c>
      <c r="C92" s="25" t="s">
        <v>703</v>
      </c>
      <c r="D92" s="25" t="s">
        <v>330</v>
      </c>
      <c r="E92" s="26" t="s">
        <v>357</v>
      </c>
      <c r="F92" s="23">
        <v>38065</v>
      </c>
      <c r="G92" s="24" t="s">
        <v>704</v>
      </c>
      <c r="H92" s="22" t="s">
        <v>331</v>
      </c>
      <c r="I92" s="22" t="s">
        <v>705</v>
      </c>
    </row>
    <row r="93" spans="1:9" s="15" customFormat="1" ht="15.75" customHeight="1" x14ac:dyDescent="0.25">
      <c r="A93" s="21">
        <v>92</v>
      </c>
      <c r="B93" s="25" t="s">
        <v>706</v>
      </c>
      <c r="C93" s="25" t="s">
        <v>707</v>
      </c>
      <c r="D93" s="25" t="s">
        <v>330</v>
      </c>
      <c r="E93" s="26" t="s">
        <v>357</v>
      </c>
      <c r="F93" s="23">
        <v>37896</v>
      </c>
      <c r="G93" s="24" t="s">
        <v>708</v>
      </c>
      <c r="H93" s="22" t="s">
        <v>331</v>
      </c>
      <c r="I93" s="22" t="s">
        <v>709</v>
      </c>
    </row>
    <row r="94" spans="1:9" s="15" customFormat="1" ht="15.75" customHeight="1" x14ac:dyDescent="0.25">
      <c r="A94" s="21">
        <v>93</v>
      </c>
      <c r="B94" s="22" t="s">
        <v>710</v>
      </c>
      <c r="C94" s="22" t="s">
        <v>711</v>
      </c>
      <c r="D94" s="22" t="s">
        <v>509</v>
      </c>
      <c r="E94" s="22" t="s">
        <v>510</v>
      </c>
      <c r="F94" s="23">
        <v>37726</v>
      </c>
      <c r="G94" s="24" t="s">
        <v>712</v>
      </c>
      <c r="H94" s="22" t="s">
        <v>334</v>
      </c>
      <c r="I94" s="22" t="s">
        <v>713</v>
      </c>
    </row>
    <row r="95" spans="1:9" s="15" customFormat="1" ht="15.75" customHeight="1" x14ac:dyDescent="0.25">
      <c r="A95" s="21">
        <v>94</v>
      </c>
      <c r="B95" s="22" t="s">
        <v>714</v>
      </c>
      <c r="C95" s="22" t="s">
        <v>715</v>
      </c>
      <c r="D95" s="22" t="s">
        <v>415</v>
      </c>
      <c r="E95" s="22" t="s">
        <v>416</v>
      </c>
      <c r="F95" s="23">
        <v>37572</v>
      </c>
      <c r="G95" s="24" t="s">
        <v>716</v>
      </c>
      <c r="H95" s="22" t="s">
        <v>331</v>
      </c>
      <c r="I95" s="22" t="s">
        <v>717</v>
      </c>
    </row>
    <row r="96" spans="1:9" s="15" customFormat="1" ht="15.75" customHeight="1" x14ac:dyDescent="0.25">
      <c r="A96" s="21">
        <v>95</v>
      </c>
      <c r="B96" s="22" t="s">
        <v>718</v>
      </c>
      <c r="C96" s="22" t="s">
        <v>719</v>
      </c>
      <c r="D96" s="22" t="s">
        <v>509</v>
      </c>
      <c r="E96" s="22" t="s">
        <v>510</v>
      </c>
      <c r="F96" s="23">
        <v>37248</v>
      </c>
      <c r="G96" s="24" t="s">
        <v>720</v>
      </c>
      <c r="H96" s="22" t="s">
        <v>334</v>
      </c>
      <c r="I96" s="22" t="s">
        <v>721</v>
      </c>
    </row>
    <row r="97" spans="1:9" s="15" customFormat="1" ht="15.75" customHeight="1" x14ac:dyDescent="0.25">
      <c r="A97" s="21">
        <v>96</v>
      </c>
      <c r="B97" s="22" t="s">
        <v>722</v>
      </c>
      <c r="C97" s="22" t="s">
        <v>723</v>
      </c>
      <c r="D97" s="22" t="s">
        <v>415</v>
      </c>
      <c r="E97" s="22" t="s">
        <v>416</v>
      </c>
      <c r="F97" s="23">
        <v>37104</v>
      </c>
      <c r="G97" s="24" t="s">
        <v>724</v>
      </c>
      <c r="H97" s="22" t="s">
        <v>331</v>
      </c>
      <c r="I97" s="22" t="s">
        <v>725</v>
      </c>
    </row>
    <row r="98" spans="1:9" s="15" customFormat="1" ht="15.75" customHeight="1" x14ac:dyDescent="0.25">
      <c r="A98" s="21">
        <v>97</v>
      </c>
      <c r="B98" s="22" t="s">
        <v>726</v>
      </c>
      <c r="C98" s="22" t="s">
        <v>727</v>
      </c>
      <c r="D98" s="22" t="s">
        <v>509</v>
      </c>
      <c r="E98" s="22" t="s">
        <v>510</v>
      </c>
      <c r="F98" s="23">
        <v>37063</v>
      </c>
      <c r="G98" s="24" t="s">
        <v>728</v>
      </c>
      <c r="H98" s="22" t="s">
        <v>334</v>
      </c>
      <c r="I98" s="22" t="s">
        <v>729</v>
      </c>
    </row>
    <row r="99" spans="1:9" s="15" customFormat="1" ht="15.75" customHeight="1" x14ac:dyDescent="0.25">
      <c r="A99" s="21">
        <v>98</v>
      </c>
      <c r="B99" s="22" t="s">
        <v>730</v>
      </c>
      <c r="C99" s="22" t="s">
        <v>731</v>
      </c>
      <c r="D99" s="22" t="s">
        <v>509</v>
      </c>
      <c r="E99" s="22" t="s">
        <v>510</v>
      </c>
      <c r="F99" s="23">
        <v>24915</v>
      </c>
      <c r="G99" s="24" t="s">
        <v>732</v>
      </c>
      <c r="H99" s="22" t="s">
        <v>334</v>
      </c>
      <c r="I99" s="22" t="s">
        <v>733</v>
      </c>
    </row>
    <row r="100" spans="1:9" x14ac:dyDescent="0.25">
      <c r="B100" s="31"/>
      <c r="C100" s="15"/>
      <c r="D100" s="15"/>
      <c r="E100" s="15"/>
      <c r="F100" s="15"/>
      <c r="G100" s="15"/>
      <c r="H100" s="15"/>
      <c r="I100" s="31"/>
    </row>
    <row r="101" spans="1:9" x14ac:dyDescent="0.25">
      <c r="B101" s="31"/>
      <c r="C101" s="15"/>
      <c r="D101" s="15"/>
      <c r="E101" s="15"/>
      <c r="F101" s="33"/>
      <c r="G101" s="15"/>
      <c r="H101" s="15"/>
    </row>
    <row r="102" spans="1:9" x14ac:dyDescent="0.25">
      <c r="B102" s="31"/>
      <c r="C102" s="15"/>
      <c r="D102" s="15"/>
      <c r="E102" s="15"/>
      <c r="F102" s="15"/>
      <c r="G102" s="15"/>
      <c r="H102" s="15"/>
      <c r="I102" s="31"/>
    </row>
    <row r="103" spans="1:9" x14ac:dyDescent="0.25">
      <c r="B103" s="31"/>
      <c r="C103" s="15"/>
      <c r="D103" s="15"/>
      <c r="E103" s="15"/>
      <c r="F103" s="15"/>
      <c r="G103" s="15"/>
      <c r="H103" s="15"/>
      <c r="I103" s="31"/>
    </row>
    <row r="104" spans="1:9" x14ac:dyDescent="0.25">
      <c r="B104" s="31"/>
      <c r="C104" s="15"/>
      <c r="D104" s="15"/>
      <c r="E104" s="15"/>
      <c r="F104" s="15"/>
      <c r="G104" s="15"/>
      <c r="H104" s="15"/>
      <c r="I104" s="31"/>
    </row>
    <row r="105" spans="1:9" x14ac:dyDescent="0.25">
      <c r="B105" s="31"/>
      <c r="C105" s="34"/>
      <c r="E105" s="34"/>
      <c r="F105" s="35"/>
      <c r="G105" s="32"/>
      <c r="H105" s="15"/>
      <c r="I105" s="31"/>
    </row>
    <row r="106" spans="1:9" x14ac:dyDescent="0.25">
      <c r="B106" s="31"/>
      <c r="C106" s="15"/>
      <c r="D106" s="15"/>
      <c r="E106" s="15"/>
      <c r="F106" s="15"/>
      <c r="G106" s="15"/>
      <c r="H106" s="15"/>
      <c r="I106" s="31"/>
    </row>
    <row r="107" spans="1:9" x14ac:dyDescent="0.25">
      <c r="B107" s="31"/>
      <c r="C107" s="15"/>
      <c r="D107" s="15"/>
      <c r="E107" s="15"/>
      <c r="F107" s="15"/>
      <c r="G107" s="15"/>
      <c r="H107" s="15"/>
      <c r="I107" s="31"/>
    </row>
    <row r="108" spans="1:9" x14ac:dyDescent="0.25">
      <c r="B108" s="31"/>
      <c r="C108" s="15"/>
      <c r="D108" s="15"/>
      <c r="E108" s="15"/>
      <c r="F108" s="15"/>
      <c r="G108" s="15"/>
      <c r="H108" s="15"/>
      <c r="I108" s="31"/>
    </row>
    <row r="109" spans="1:9" x14ac:dyDescent="0.25">
      <c r="B109" s="31"/>
      <c r="C109" s="15"/>
      <c r="D109" s="15"/>
      <c r="E109" s="15"/>
      <c r="F109" s="15"/>
      <c r="G109" s="15"/>
      <c r="H109" s="15"/>
      <c r="I109" s="31"/>
    </row>
    <row r="110" spans="1:9" x14ac:dyDescent="0.25">
      <c r="B110" s="31"/>
      <c r="C110" s="15"/>
      <c r="D110" s="15"/>
      <c r="E110" s="15"/>
      <c r="F110" s="15"/>
      <c r="G110" s="15"/>
    </row>
    <row r="111" spans="1:9" x14ac:dyDescent="0.25">
      <c r="B111" s="31"/>
      <c r="C111" s="15"/>
      <c r="D111" s="15"/>
      <c r="E111" s="15"/>
      <c r="F111" s="15"/>
      <c r="G111" s="15"/>
    </row>
    <row r="112" spans="1:9" x14ac:dyDescent="0.25">
      <c r="B112" s="31"/>
      <c r="C112" s="15"/>
      <c r="D112" s="15"/>
      <c r="E112" s="15"/>
      <c r="F112" s="15"/>
      <c r="G112" s="15"/>
    </row>
    <row r="113" spans="2:7" x14ac:dyDescent="0.25">
      <c r="B113" s="31"/>
      <c r="C113" s="15"/>
      <c r="D113" s="15"/>
      <c r="E113" s="15"/>
      <c r="F113" s="15"/>
      <c r="G113" s="15"/>
    </row>
    <row r="114" spans="2:7" x14ac:dyDescent="0.25">
      <c r="B114" s="31"/>
      <c r="C114" s="15"/>
      <c r="D114" s="15"/>
      <c r="E114" s="15"/>
      <c r="F114" s="15"/>
      <c r="G114" s="15"/>
    </row>
  </sheetData>
  <conditionalFormatting sqref="B1:B21 B23 B115:B65532">
    <cfRule type="expression" dxfId="11" priority="12" stopIfTrue="1">
      <formula>AND(COUNTIF($B$115:$B$65532, B1)+COUNTIF($B$1:$B$21, B1)+COUNTIF(#REF!, B1)+COUNTIF($B$23:$B$23, B1)&gt;1,NOT(ISBLANK(B1)))</formula>
    </cfRule>
  </conditionalFormatting>
  <conditionalFormatting sqref="B22">
    <cfRule type="duplicateValues" dxfId="10" priority="5" stopIfTrue="1"/>
  </conditionalFormatting>
  <conditionalFormatting sqref="B25">
    <cfRule type="duplicateValues" dxfId="9" priority="10" stopIfTrue="1"/>
  </conditionalFormatting>
  <conditionalFormatting sqref="B26">
    <cfRule type="duplicateValues" dxfId="8" priority="4" stopIfTrue="1"/>
  </conditionalFormatting>
  <conditionalFormatting sqref="B27:B36 B38:B47 B50:B53 B55:B75 B78:B83 B85:B88 B90:B99">
    <cfRule type="expression" dxfId="7" priority="13" stopIfTrue="1">
      <formula>AND(COUNTIF($B$78:$B$83, B27)+COUNTIF($B$50:$B$53, B27)+COUNTIF(#REF!, B27)+COUNTIF($B$27:$B$36, B27)+COUNTIF($B$55:$B$75, B27)+COUNTIF($B$85:$B$88, B27)+COUNTIF($B$38:$B$47, B27)+COUNTIF($B$90:$B$99, B27)&gt;1,NOT(ISBLANK(B27)))</formula>
    </cfRule>
  </conditionalFormatting>
  <conditionalFormatting sqref="B37">
    <cfRule type="duplicateValues" dxfId="6" priority="3" stopIfTrue="1"/>
  </conditionalFormatting>
  <conditionalFormatting sqref="B54">
    <cfRule type="duplicateValues" dxfId="5" priority="8" stopIfTrue="1"/>
  </conditionalFormatting>
  <conditionalFormatting sqref="B76:B77">
    <cfRule type="duplicateValues" dxfId="4" priority="7" stopIfTrue="1"/>
  </conditionalFormatting>
  <conditionalFormatting sqref="B84">
    <cfRule type="duplicateValues" dxfId="3" priority="9" stopIfTrue="1"/>
  </conditionalFormatting>
  <conditionalFormatting sqref="B89">
    <cfRule type="duplicateValues" dxfId="2" priority="6" stopIfTrue="1"/>
  </conditionalFormatting>
  <conditionalFormatting sqref="I11">
    <cfRule type="duplicateValues" dxfId="1" priority="1" stopIfTrue="1"/>
  </conditionalFormatting>
  <conditionalFormatting sqref="I16">
    <cfRule type="duplicateValues" dxfId="0" priority="2" stopIfTrue="1"/>
  </conditionalFormatting>
  <hyperlinks>
    <hyperlink ref="G18" r:id="rId1" xr:uid="{FF233FBB-7CD7-4F10-8E26-F76AC594E131}"/>
    <hyperlink ref="G19" r:id="rId2" xr:uid="{6FB67395-E93F-4C8C-8468-47EF78CFEF88}"/>
    <hyperlink ref="G21" r:id="rId3" xr:uid="{8B905999-49F5-43B2-8E57-37644ED72709}"/>
    <hyperlink ref="G24" r:id="rId4" display="mailto:indiranagar2@gkblens.com" xr:uid="{E89198A9-218E-4408-AEFF-767D0E126A72}"/>
    <hyperlink ref="G31" r:id="rId5" xr:uid="{48027D4E-8381-438D-BE06-3077CC560437}"/>
    <hyperlink ref="G26" r:id="rId6" xr:uid="{20B2AD9E-3111-4CEE-804E-C3D9C3AB512F}"/>
    <hyperlink ref="G25" r:id="rId7" xr:uid="{49416C44-5205-4BB5-A1D9-7C0B259BE72D}"/>
    <hyperlink ref="G27" r:id="rId8" xr:uid="{A026EBAB-0D44-4605-98BE-3BC52AA64462}"/>
    <hyperlink ref="G28" r:id="rId9" xr:uid="{6EA5B6FA-65CA-4449-8DBD-77698498DCE2}"/>
    <hyperlink ref="G71" r:id="rId10" tooltip="mailto:velachery@gkblens.com" xr:uid="{E0871FA3-B719-44A1-B6DB-8CEE0EF71BC4}"/>
    <hyperlink ref="G69" r:id="rId11" tooltip="mailto:pondy@gkblens.com" xr:uid="{AA696735-E7C0-4B9E-864A-3CDEE3DF659B}"/>
    <hyperlink ref="G56" r:id="rId12" tooltip="mailto:phoenixchennai@gkblens.com" xr:uid="{812AD213-7C8B-4F91-93C4-F2962E2E42B0}"/>
    <hyperlink ref="G61" r:id="rId13" tooltip="mailto:tnagar@gkblens.com " display="tnagar@gkblens.com " xr:uid="{06FD645F-8478-4237-A7A5-B9D8200C034C}"/>
    <hyperlink ref="G75" r:id="rId14" tooltip="mailto:raipur@gkblens.com" xr:uid="{CE84E115-0E20-49F9-8A92-CF686A08468E}"/>
    <hyperlink ref="G29" r:id="rId15" display="falconbangalore@gkblens.com " xr:uid="{E33C6897-BA61-4D37-A21F-BC69865DAF9F}"/>
    <hyperlink ref="G30" r:id="rId16" display="mailto:indorephoenix@gkblens.com" xr:uid="{3ABD2A7B-82AD-4811-B9B8-A2781E751C66}"/>
    <hyperlink ref="G94" r:id="rId17" tooltip="mailto:parkstreet@gkblens.com" xr:uid="{4422B20E-AB3C-4659-8484-D93EA76F4B4F}"/>
    <hyperlink ref="G32" r:id="rId18" display="mailto:phoenixlucknow@gkblens.com" xr:uid="{E323CD1C-8271-4037-B7D7-4599BE99318A}"/>
    <hyperlink ref="G33" r:id="rId19" display="mailto:ahmedabadone@gkblens.com" xr:uid="{36D03400-7069-4313-8D60-CE1653193D19}"/>
    <hyperlink ref="G43" r:id="rId20" tooltip="mailto:citycentresiliguri@gkblens.com" xr:uid="{C41E1EF1-722D-4D54-969A-7CD489A58F29}"/>
    <hyperlink ref="G60" r:id="rId21" tooltip="mailto:durgapur@gkblens.com" xr:uid="{3B0C777B-D5FA-4F35-A7B0-44514B736BE0}"/>
    <hyperlink ref="G42" r:id="rId22" display="guwahati@gkblens.com " xr:uid="{2EE02738-5119-4D16-B1A4-42F2271A57B7}"/>
    <hyperlink ref="G67" r:id="rId23" xr:uid="{2A43EEE5-59BF-4B90-AC1B-F70B41047984}"/>
    <hyperlink ref="G46" r:id="rId24" xr:uid="{5179092F-D1D8-41D2-97E4-D825C409EF4F}"/>
    <hyperlink ref="G49" r:id="rId25" tooltip="mailto:maladinfinity@gkblens.com" xr:uid="{772D7FFF-8DC2-498A-9CCB-A338B41D6319}"/>
    <hyperlink ref="G90" r:id="rId26" tooltip="mailto:santacruz@gkblens.com" xr:uid="{A83C0BA7-08BA-430D-B57C-F7711E65FFBD}"/>
    <hyperlink ref="G72" r:id="rId27" tooltip="mailto:mysore@gkblens.com" xr:uid="{980646DF-0E52-46BF-BD62-C2808E540BD4}"/>
    <hyperlink ref="G89" r:id="rId28" tooltip="mailto:vip@gkblens.com" xr:uid="{DE427557-A7F7-4E82-8BD9-8688D6062873}"/>
    <hyperlink ref="G70" r:id="rId29" tooltip="mailto:gurusaday@gkblens.com" xr:uid="{2D7A09B6-F600-43B0-ADAE-92BC9E1FC3EE}"/>
    <hyperlink ref="G97" r:id="rId30" tooltip="mailto:adyar@gkblens.com" xr:uid="{4C1BBDA4-EC6E-4E6E-8358-BA7FD109F5EA}"/>
    <hyperlink ref="G74" r:id="rId31" tooltip="mailto:kalyaninagar@gkblens.com" xr:uid="{32047FD5-B7E9-448D-98A0-9EF26B024E2D}"/>
    <hyperlink ref="G59" r:id="rId32" tooltip="mailto:amanora@gkblens.com" xr:uid="{B1D7E70A-46E4-4A68-B775-B198EAA574D5}"/>
    <hyperlink ref="G62" r:id="rId33" display="expressmall@gkblens.com " xr:uid="{ADDBF046-A03E-426A-AD0F-DE0DEA741B3B}"/>
    <hyperlink ref="G39" r:id="rId34" xr:uid="{4DFAABC1-7BD8-4342-A137-949BD71906D1}"/>
    <hyperlink ref="G52" r:id="rId35" tooltip="mailto:ranchi@gkblens.com" xr:uid="{75398D2E-2C2A-4456-A6CC-F152C5FB998B}"/>
    <hyperlink ref="G40" r:id="rId36" tooltip="mailto:koldhroad@gkblens.com" xr:uid="{A1A05F39-3BEC-41E6-96F4-725C98801856}"/>
    <hyperlink ref="G50" r:id="rId37" tooltip="mailto:acropolis@gkblens.com" xr:uid="{6AD1484C-3FDF-434D-8D88-7CBF2A9C2517}"/>
    <hyperlink ref="G53" r:id="rId38" tooltip="mailto:gkbavani@gkblens.com" xr:uid="{05A62B92-F3E3-4FF4-8262-6E812A4F4763}"/>
    <hyperlink ref="G54" r:id="rId39" tooltip="mailto:gkbquest@gkblens.com" xr:uid="{1D29D413-FA1B-476C-A432-DEA0B95CC941}"/>
    <hyperlink ref="G82" r:id="rId40" tooltip="mailto:hilandpark@gkblens.com" xr:uid="{F67936CB-8575-4110-9732-6DF522725508}"/>
    <hyperlink ref="G98" r:id="rId41" tooltip="mailto:saltlake@gkblens.com" xr:uid="{DC9E68C7-9D9A-4BF2-9431-0AB5E9D01301}"/>
    <hyperlink ref="G79" r:id="rId42" tooltip="mailto:ruby@gkblens.com" xr:uid="{0EDDF6AE-33AF-4DDD-BDF7-169892D6AE76}"/>
    <hyperlink ref="G99" r:id="rId43" tooltip="mailto:gkbgariahat@gkblens.com" xr:uid="{1A150D91-D1BE-47B6-B69A-B3CD4F427475}"/>
    <hyperlink ref="G64" r:id="rId44" tooltip="mailto:citycentre2@gkblens.com " display="citycentre2@gkblens.com " xr:uid="{2467897C-D666-43BC-AA0F-AA7265307D11}"/>
    <hyperlink ref="G86" r:id="rId45" tooltip="mailto:citycentre@gkblens.com" xr:uid="{630437A7-9595-4B00-9CF4-A848ECCB32CD}"/>
    <hyperlink ref="G96" r:id="rId46" tooltip="mailto:rashbehari@gkblens.com" xr:uid="{4DE5EFC2-6FA2-4DDD-8808-8804C449E6E2}"/>
    <hyperlink ref="G68" r:id="rId47" xr:uid="{D7337125-87DB-49B3-ABBC-A94952BFB676}"/>
    <hyperlink ref="G76" r:id="rId48" xr:uid="{1685B1C1-C5DD-4E8F-8AEF-FFA28F409143}"/>
    <hyperlink ref="G92" r:id="rId49" tooltip="mailto:malleswaram@gkblens.com" xr:uid="{A03D5979-B40C-4E55-ABFD-6FF272A3FF74}"/>
    <hyperlink ref="G57" r:id="rId50" tooltip="mailto:gkbphoenix@gkblens.com " display="gkbphoenix@gkblens.com " xr:uid="{42616457-A2F3-4721-B593-6CFCC4341FE2}"/>
    <hyperlink ref="G85" r:id="rId51" tooltip="mailto:alwarpet@gkblens.com" xr:uid="{6C3DF903-7992-4CAA-B884-7F5051921791}"/>
    <hyperlink ref="G95" r:id="rId52" tooltip="mailto:mylapore@gkblens.com " xr:uid="{FF592B2F-C440-4732-9249-562B469C3085}"/>
    <hyperlink ref="G91" r:id="rId53" tooltip="mailto:nungambakkam@gkblens.com" xr:uid="{6307DCC0-65BD-4B3C-8C5E-6B84301A44B2}"/>
    <hyperlink ref="G81" r:id="rId54" tooltip="mailto:annanagar@gkblens.com" xr:uid="{07472476-7C81-4AFF-AAAF-B4295E3D9658}"/>
    <hyperlink ref="G36" r:id="rId55" xr:uid="{DA601FE0-41C4-4927-8FBD-426E89754092}"/>
    <hyperlink ref="G44" r:id="rId56" tooltip="mailto:siripuramvizag@gkblens.com" xr:uid="{708C6009-885E-4205-BCEC-BA5D1C43D70B}"/>
    <hyperlink ref="G65" r:id="rId57" tooltip="mailto:jubileehills@gkblens.com" xr:uid="{3D30F9E4-C468-449A-AC3E-B293B3A8B1AE}"/>
    <hyperlink ref="G88" r:id="rId58" tooltip="mailto:himayathnagar@gkblens.com" xr:uid="{E9512627-36F5-4F22-8B6B-2C89B4466E1B}"/>
    <hyperlink ref="G84" r:id="rId59" tooltip="mailto:gkbvizag@gkblens.com" xr:uid="{6A632D95-8777-4EEE-A757-B2EE8567774F}"/>
    <hyperlink ref="G47" r:id="rId60" tooltip="mailto:punephoenix@gkblens.com" xr:uid="{A96189E5-8799-4DAB-9AC2-E77D35582944}"/>
    <hyperlink ref="G83" r:id="rId61" tooltip="mailto:punemgroad@gkblens.com" xr:uid="{AD2F9307-E78F-4B99-9237-CC44810B1798}"/>
    <hyperlink ref="G38" r:id="rId62" display="powaimumbai@gkblens.com " xr:uid="{B3F75161-1E43-487B-9807-CE369469B4E9}"/>
    <hyperlink ref="G48" r:id="rId63" xr:uid="{E32336C0-FBA0-467E-9F18-5E54DB05FF7F}"/>
    <hyperlink ref="G87" r:id="rId64" tooltip="mailto:dadar@gkblens.com" xr:uid="{2A889577-DF7D-41FD-A954-472506680334}"/>
    <hyperlink ref="G66" r:id="rId65" tooltip="mailto:vashi2@gkblens.com" xr:uid="{0B8A5895-4C27-4E13-9512-4A5C577010AC}"/>
    <hyperlink ref="G63" r:id="rId66" tooltip="mailto:vadodara2@gkblens.com" xr:uid="{52E6DCAB-6347-4A19-8F03-3A205270EA05}"/>
    <hyperlink ref="G78" r:id="rId67" xr:uid="{DBB22694-B696-440D-8F81-15A326640488}"/>
    <hyperlink ref="G80" r:id="rId68" tooltip="mailto:gkbjaipur@gkblens.com" xr:uid="{C3E1D83F-7CA4-42D1-A004-0D10C9C9F673}"/>
    <hyperlink ref="G55" r:id="rId69" tooltip="mailto:chandigarh@gkblens.com" xr:uid="{CCA26521-74C0-4575-9CB3-2FEC29344EED}"/>
    <hyperlink ref="G41" r:id="rId70" tooltip="mailto:ludhiana@gkblens.com" xr:uid="{AD488000-595F-464F-82D8-E0FFF65B8A01}"/>
    <hyperlink ref="G37" r:id="rId71" xr:uid="{BC61FC8B-F6BC-4697-9A26-8511AACBFE4C}"/>
    <hyperlink ref="G45" r:id="rId72" tooltip="mailto:dlfgalleria@gkblens.com" xr:uid="{69B0C1A4-4604-4310-8C0B-3A83E0AD7807}"/>
    <hyperlink ref="G51" r:id="rId73" tooltip="mailto:arjunmarg@gkblens.com" xr:uid="{ED610A4F-2521-43B9-A81C-0570ADAE6926}"/>
    <hyperlink ref="G93" r:id="rId74" tooltip="mailto:vasaviplaza@gkblens.com" xr:uid="{A911EF0D-A750-4C04-8A62-59916245CE96}"/>
    <hyperlink ref="G14" r:id="rId75" xr:uid="{79DD8FDC-E90E-4C28-88F3-ED8AF6343360}"/>
    <hyperlink ref="G13" r:id="rId76" xr:uid="{CA8EC96C-5378-4C4E-AFC5-E38BBEB7725A}"/>
    <hyperlink ref="G8" r:id="rId77" xr:uid="{17533C61-1211-4665-8B4F-F168C497051E}"/>
    <hyperlink ref="G6" r:id="rId78" xr:uid="{2AC0D576-248B-4AFB-8DBF-099D63E13C28}"/>
  </hyperlinks>
  <pageMargins left="0.7" right="0.7" top="0.75" bottom="0.75" header="0.3" footer="0.3"/>
  <legacyDrawing r:id="rId79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Summary</vt:lpstr>
      <vt:lpstr>Sales &amp; Stocks Report</vt:lpstr>
      <vt:lpstr>GRAPHICAL</vt:lpstr>
      <vt:lpstr>RET WISE SALE</vt:lpstr>
      <vt:lpstr>Pivot</vt:lpstr>
      <vt:lpstr>Raw Sale</vt:lpstr>
      <vt:lpstr>Offer On selected SKU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Sumit Rajak</cp:lastModifiedBy>
  <dcterms:created xsi:type="dcterms:W3CDTF">2026-04-24T05:20:44Z</dcterms:created>
  <dcterms:modified xsi:type="dcterms:W3CDTF">2026-08-19T11:21:06Z</dcterms:modified>
</cp:coreProperties>
</file>